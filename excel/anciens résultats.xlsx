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definedNames>
    <definedName function="false" hidden="true" localSheetId="0" name="_xlnm._FilterDatabase" vbProcedure="false">Feuille1!$A$1:$N$59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<sst xmlns="http://schemas.openxmlformats.org/spreadsheetml/2006/main" count="132" uniqueCount="34">
  <si>
    <t xml:space="preserve">Nom</t>
  </si>
  <si>
    <t xml:space="preserve">Taille</t>
  </si>
  <si>
    <t xml:space="preserve">Largeur</t>
  </si>
  <si>
    <t xml:space="preserve">Hauteur</t>
  </si>
  <si>
    <t xml:space="preserve">Nb pixels (× 1000)</t>
  </si>
  <si>
    <t xml:space="preserve">bloc_x</t>
  </si>
  <si>
    <t xml:space="preserve">bloc_y</t>
  </si>
  <si>
    <t xml:space="preserve">t</t>
  </si>
  <si>
    <t xml:space="preserve">tmax</t>
  </si>
  <si>
    <t xml:space="preserve">Bruit</t>
  </si>
  <si>
    <t xml:space="preserve">Encodage</t>
  </si>
  <si>
    <t xml:space="preserve">Decodage</t>
  </si>
  <si>
    <t xml:space="preserve">% erreur</t>
  </si>
  <si>
    <t xml:space="preserve">% erreur réel</t>
  </si>
  <si>
    <t xml:space="preserve">bounty</t>
  </si>
  <si>
    <t xml:space="preserve">small</t>
  </si>
  <si>
    <t xml:space="preserve">mid</t>
  </si>
  <si>
    <t xml:space="preserve">big</t>
  </si>
  <si>
    <t xml:space="preserve">classe HX2</t>
  </si>
  <si>
    <t xml:space="preserve">HX2 tableau</t>
  </si>
  <si>
    <t xml:space="preserve">logo HX2</t>
  </si>
  <si>
    <t xml:space="preserve">soleil</t>
  </si>
  <si>
    <t xml:space="preserve">vincent</t>
  </si>
  <si>
    <t xml:space="preserve">soleil 450</t>
  </si>
  <si>
    <t xml:space="preserve">regulier</t>
  </si>
  <si>
    <t xml:space="preserve">soleil 500</t>
  </si>
  <si>
    <t xml:space="preserve">soleil 550</t>
  </si>
  <si>
    <t xml:space="preserve">soleil 600</t>
  </si>
  <si>
    <t xml:space="preserve">soleil 650</t>
  </si>
  <si>
    <t xml:space="preserve">soleil 700</t>
  </si>
  <si>
    <t xml:space="preserve">soleil 750</t>
  </si>
  <si>
    <t xml:space="preserve">soleil 850</t>
  </si>
  <si>
    <t xml:space="preserve">soleil 900</t>
  </si>
  <si>
    <t xml:space="preserve">crash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</si>
</sst>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EEEEEE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decodage</c:f>
              <c:strCache>
                <c:ptCount val="1"/>
                <c:pt idx="0">
                  <c:v>decodage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5"/>
            <c:spPr>
              <a:solidFill>
                <a:srgbClr val="ff420e"/>
              </a:solidFill>
            </c:spPr>
          </c:marker>
          <c:dPt>
            <c:idx val="13"/>
            <c:marker>
              <c:symbol val="diamond"/>
              <c:size val="5"/>
              <c:spPr>
                <a:solidFill>
                  <a:srgbClr val="ff420e"/>
                </a:solidFill>
              </c:spPr>
            </c:marker>
          </c:dPt>
          <c:dLbls>
            <c:dLbl>
              <c:idx val="1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f</c:name>
            <c:spPr>
              <a:ln w="0">
                <a:solidFill>
                  <a:srgbClr val="ff420e"/>
                </a:solidFill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xVal>
            <c:numRef>
              <c:f>Feuille1!$E$4:$E$57</c:f>
              <c:numCache>
                <c:formatCode>General</c:formatCode>
                <c:ptCount val="54"/>
                <c:pt idx="0">
                  <c:v>53.2</c:v>
                </c:pt>
                <c:pt idx="1">
                  <c:v>160.314</c:v>
                </c:pt>
                <c:pt idx="2">
                  <c:v>160.314</c:v>
                </c:pt>
                <c:pt idx="3">
                  <c:v>160.314</c:v>
                </c:pt>
                <c:pt idx="4">
                  <c:v>160.314</c:v>
                </c:pt>
                <c:pt idx="5">
                  <c:v>160.314</c:v>
                </c:pt>
                <c:pt idx="6">
                  <c:v>160.314</c:v>
                </c:pt>
                <c:pt idx="7">
                  <c:v>160.314</c:v>
                </c:pt>
                <c:pt idx="8">
                  <c:v>160.314</c:v>
                </c:pt>
                <c:pt idx="9">
                  <c:v>160.314</c:v>
                </c:pt>
                <c:pt idx="10">
                  <c:v>160.314</c:v>
                </c:pt>
                <c:pt idx="11">
                  <c:v>160.314</c:v>
                </c:pt>
                <c:pt idx="12">
                  <c:v>160.314</c:v>
                </c:pt>
                <c:pt idx="13">
                  <c:v>160.314</c:v>
                </c:pt>
                <c:pt idx="14">
                  <c:v>160.314</c:v>
                </c:pt>
                <c:pt idx="15">
                  <c:v>160.314</c:v>
                </c:pt>
                <c:pt idx="16">
                  <c:v>160.314</c:v>
                </c:pt>
                <c:pt idx="17">
                  <c:v>160.314</c:v>
                </c:pt>
                <c:pt idx="18">
                  <c:v>160.314</c:v>
                </c:pt>
                <c:pt idx="19">
                  <c:v>160.314</c:v>
                </c:pt>
                <c:pt idx="20">
                  <c:v>160.314</c:v>
                </c:pt>
                <c:pt idx="21">
                  <c:v>160.314</c:v>
                </c:pt>
                <c:pt idx="22">
                  <c:v>160.314</c:v>
                </c:pt>
                <c:pt idx="23">
                  <c:v>852</c:v>
                </c:pt>
                <c:pt idx="24">
                  <c:v>54.95</c:v>
                </c:pt>
                <c:pt idx="25">
                  <c:v>54.95</c:v>
                </c:pt>
                <c:pt idx="26">
                  <c:v>54.95</c:v>
                </c:pt>
                <c:pt idx="27">
                  <c:v>54.95</c:v>
                </c:pt>
                <c:pt idx="28">
                  <c:v>54.95</c:v>
                </c:pt>
                <c:pt idx="29">
                  <c:v>54.95</c:v>
                </c:pt>
                <c:pt idx="30">
                  <c:v>54.95</c:v>
                </c:pt>
                <c:pt idx="31">
                  <c:v>161.4</c:v>
                </c:pt>
                <c:pt idx="32">
                  <c:v>448</c:v>
                </c:pt>
                <c:pt idx="33">
                  <c:v>50.7</c:v>
                </c:pt>
                <c:pt idx="34">
                  <c:v>202.8</c:v>
                </c:pt>
                <c:pt idx="35">
                  <c:v>563</c:v>
                </c:pt>
                <c:pt idx="36">
                  <c:v>67.5</c:v>
                </c:pt>
                <c:pt idx="37">
                  <c:v>270</c:v>
                </c:pt>
                <c:pt idx="38">
                  <c:v>67.5</c:v>
                </c:pt>
                <c:pt idx="39">
                  <c:v>67.5</c:v>
                </c:pt>
                <c:pt idx="40">
                  <c:v>46.25</c:v>
                </c:pt>
                <c:pt idx="41">
                  <c:v>185.5</c:v>
                </c:pt>
                <c:pt idx="42">
                  <c:v>474.4</c:v>
                </c:pt>
                <c:pt idx="43">
                  <c:v>67.5</c:v>
                </c:pt>
                <c:pt idx="44">
                  <c:v>270</c:v>
                </c:pt>
                <c:pt idx="45">
                  <c:v>150.3</c:v>
                </c:pt>
                <c:pt idx="46">
                  <c:v>185.5</c:v>
                </c:pt>
                <c:pt idx="47">
                  <c:v>224.4</c:v>
                </c:pt>
                <c:pt idx="48">
                  <c:v>267</c:v>
                </c:pt>
                <c:pt idx="49">
                  <c:v>313.3</c:v>
                </c:pt>
                <c:pt idx="50">
                  <c:v>363.3</c:v>
                </c:pt>
                <c:pt idx="51">
                  <c:v>417</c:v>
                </c:pt>
                <c:pt idx="52">
                  <c:v>535.5</c:v>
                </c:pt>
                <c:pt idx="53">
                  <c:v>600.3</c:v>
                </c:pt>
              </c:numCache>
            </c:numRef>
          </c:xVal>
          <c:yVal>
            <c:numRef>
              <c:f>Feuille1!$L$4:$L$57</c:f>
              <c:numCache>
                <c:formatCode>General</c:formatCode>
                <c:ptCount val="54"/>
                <c:pt idx="0">
                  <c:v>7.37</c:v>
                </c:pt>
                <c:pt idx="1">
                  <c:v>20.09</c:v>
                </c:pt>
                <c:pt idx="2">
                  <c:v>15.99</c:v>
                </c:pt>
                <c:pt idx="3">
                  <c:v>12.19</c:v>
                </c:pt>
                <c:pt idx="4">
                  <c:v>13.11</c:v>
                </c:pt>
                <c:pt idx="5">
                  <c:v>12.53</c:v>
                </c:pt>
                <c:pt idx="6">
                  <c:v>17.57</c:v>
                </c:pt>
                <c:pt idx="7">
                  <c:v>12.96</c:v>
                </c:pt>
                <c:pt idx="8">
                  <c:v>18.52</c:v>
                </c:pt>
                <c:pt idx="9">
                  <c:v>12.55</c:v>
                </c:pt>
                <c:pt idx="10">
                  <c:v>17.8</c:v>
                </c:pt>
                <c:pt idx="11">
                  <c:v>14.09</c:v>
                </c:pt>
                <c:pt idx="12">
                  <c:v>18.7</c:v>
                </c:pt>
                <c:pt idx="13">
                  <c:v>12.54</c:v>
                </c:pt>
                <c:pt idx="14">
                  <c:v>21.46</c:v>
                </c:pt>
                <c:pt idx="15">
                  <c:v>23.64</c:v>
                </c:pt>
                <c:pt idx="16">
                  <c:v>21.66</c:v>
                </c:pt>
                <c:pt idx="17">
                  <c:v>21.91</c:v>
                </c:pt>
                <c:pt idx="18">
                  <c:v>21.42</c:v>
                </c:pt>
                <c:pt idx="19">
                  <c:v>21.91</c:v>
                </c:pt>
                <c:pt idx="20">
                  <c:v>24.5</c:v>
                </c:pt>
                <c:pt idx="21">
                  <c:v>22.43</c:v>
                </c:pt>
                <c:pt idx="22">
                  <c:v>694.93</c:v>
                </c:pt>
                <c:pt idx="23">
                  <c:v>211</c:v>
                </c:pt>
                <c:pt idx="24">
                  <c:v>12.29</c:v>
                </c:pt>
                <c:pt idx="25">
                  <c:v>11.13</c:v>
                </c:pt>
                <c:pt idx="26">
                  <c:v>10.15</c:v>
                </c:pt>
                <c:pt idx="27">
                  <c:v>9.63</c:v>
                </c:pt>
                <c:pt idx="28">
                  <c:v>10.29</c:v>
                </c:pt>
                <c:pt idx="29">
                  <c:v>8.47</c:v>
                </c:pt>
                <c:pt idx="30">
                  <c:v>6.57</c:v>
                </c:pt>
                <c:pt idx="31">
                  <c:v>21.34</c:v>
                </c:pt>
                <c:pt idx="32">
                  <c:v>80.08</c:v>
                </c:pt>
                <c:pt idx="33">
                  <c:v>7.03</c:v>
                </c:pt>
                <c:pt idx="34">
                  <c:v>26.59</c:v>
                </c:pt>
                <c:pt idx="35">
                  <c:v>111.79</c:v>
                </c:pt>
                <c:pt idx="36">
                  <c:v>8.31</c:v>
                </c:pt>
                <c:pt idx="37">
                  <c:v>37.22</c:v>
                </c:pt>
                <c:pt idx="38">
                  <c:v>14.22</c:v>
                </c:pt>
                <c:pt idx="39">
                  <c:v>19.62</c:v>
                </c:pt>
                <c:pt idx="40">
                  <c:v>5.21</c:v>
                </c:pt>
                <c:pt idx="41">
                  <c:v>23.69</c:v>
                </c:pt>
                <c:pt idx="42">
                  <c:v>83.58</c:v>
                </c:pt>
                <c:pt idx="43">
                  <c:v>8.28</c:v>
                </c:pt>
                <c:pt idx="44">
                  <c:v>38.78</c:v>
                </c:pt>
                <c:pt idx="45">
                  <c:v>17.71</c:v>
                </c:pt>
                <c:pt idx="46">
                  <c:v>22.82</c:v>
                </c:pt>
                <c:pt idx="47">
                  <c:v>29.31</c:v>
                </c:pt>
                <c:pt idx="48">
                  <c:v>36.53</c:v>
                </c:pt>
                <c:pt idx="49">
                  <c:v>44.57</c:v>
                </c:pt>
                <c:pt idx="50">
                  <c:v>59.63</c:v>
                </c:pt>
                <c:pt idx="51">
                  <c:v>67.05</c:v>
                </c:pt>
                <c:pt idx="52">
                  <c:v>100.59</c:v>
                </c:pt>
                <c:pt idx="53">
                  <c:v>119.76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encodage</c:f>
              <c:strCache>
                <c:ptCount val="1"/>
                <c:pt idx="0">
                  <c:v>encodage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g</c:nam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xVal>
            <c:numRef>
              <c:f>Feuille1!$E$4:$E$57</c:f>
              <c:numCache>
                <c:formatCode>General</c:formatCode>
                <c:ptCount val="54"/>
                <c:pt idx="0">
                  <c:v>53.2</c:v>
                </c:pt>
                <c:pt idx="1">
                  <c:v>160.314</c:v>
                </c:pt>
                <c:pt idx="2">
                  <c:v>160.314</c:v>
                </c:pt>
                <c:pt idx="3">
                  <c:v>160.314</c:v>
                </c:pt>
                <c:pt idx="4">
                  <c:v>160.314</c:v>
                </c:pt>
                <c:pt idx="5">
                  <c:v>160.314</c:v>
                </c:pt>
                <c:pt idx="6">
                  <c:v>160.314</c:v>
                </c:pt>
                <c:pt idx="7">
                  <c:v>160.314</c:v>
                </c:pt>
                <c:pt idx="8">
                  <c:v>160.314</c:v>
                </c:pt>
                <c:pt idx="9">
                  <c:v>160.314</c:v>
                </c:pt>
                <c:pt idx="10">
                  <c:v>160.314</c:v>
                </c:pt>
                <c:pt idx="11">
                  <c:v>160.314</c:v>
                </c:pt>
                <c:pt idx="12">
                  <c:v>160.314</c:v>
                </c:pt>
                <c:pt idx="13">
                  <c:v>160.314</c:v>
                </c:pt>
                <c:pt idx="14">
                  <c:v>160.314</c:v>
                </c:pt>
                <c:pt idx="15">
                  <c:v>160.314</c:v>
                </c:pt>
                <c:pt idx="16">
                  <c:v>160.314</c:v>
                </c:pt>
                <c:pt idx="17">
                  <c:v>160.314</c:v>
                </c:pt>
                <c:pt idx="18">
                  <c:v>160.314</c:v>
                </c:pt>
                <c:pt idx="19">
                  <c:v>160.314</c:v>
                </c:pt>
                <c:pt idx="20">
                  <c:v>160.314</c:v>
                </c:pt>
                <c:pt idx="21">
                  <c:v>160.314</c:v>
                </c:pt>
                <c:pt idx="22">
                  <c:v>160.314</c:v>
                </c:pt>
                <c:pt idx="23">
                  <c:v>852</c:v>
                </c:pt>
                <c:pt idx="24">
                  <c:v>54.95</c:v>
                </c:pt>
                <c:pt idx="25">
                  <c:v>54.95</c:v>
                </c:pt>
                <c:pt idx="26">
                  <c:v>54.95</c:v>
                </c:pt>
                <c:pt idx="27">
                  <c:v>54.95</c:v>
                </c:pt>
                <c:pt idx="28">
                  <c:v>54.95</c:v>
                </c:pt>
                <c:pt idx="29">
                  <c:v>54.95</c:v>
                </c:pt>
                <c:pt idx="30">
                  <c:v>54.95</c:v>
                </c:pt>
                <c:pt idx="31">
                  <c:v>161.4</c:v>
                </c:pt>
                <c:pt idx="32">
                  <c:v>448</c:v>
                </c:pt>
                <c:pt idx="33">
                  <c:v>50.7</c:v>
                </c:pt>
                <c:pt idx="34">
                  <c:v>202.8</c:v>
                </c:pt>
                <c:pt idx="35">
                  <c:v>563</c:v>
                </c:pt>
                <c:pt idx="36">
                  <c:v>67.5</c:v>
                </c:pt>
                <c:pt idx="37">
                  <c:v>270</c:v>
                </c:pt>
                <c:pt idx="38">
                  <c:v>67.5</c:v>
                </c:pt>
                <c:pt idx="39">
                  <c:v>67.5</c:v>
                </c:pt>
                <c:pt idx="40">
                  <c:v>46.25</c:v>
                </c:pt>
                <c:pt idx="41">
                  <c:v>185.5</c:v>
                </c:pt>
                <c:pt idx="42">
                  <c:v>474.4</c:v>
                </c:pt>
                <c:pt idx="43">
                  <c:v>67.5</c:v>
                </c:pt>
                <c:pt idx="44">
                  <c:v>270</c:v>
                </c:pt>
                <c:pt idx="45">
                  <c:v>150.3</c:v>
                </c:pt>
                <c:pt idx="46">
                  <c:v>185.5</c:v>
                </c:pt>
                <c:pt idx="47">
                  <c:v>224.4</c:v>
                </c:pt>
                <c:pt idx="48">
                  <c:v>267</c:v>
                </c:pt>
                <c:pt idx="49">
                  <c:v>313.3</c:v>
                </c:pt>
                <c:pt idx="50">
                  <c:v>363.3</c:v>
                </c:pt>
                <c:pt idx="51">
                  <c:v>417</c:v>
                </c:pt>
                <c:pt idx="52">
                  <c:v>535.5</c:v>
                </c:pt>
                <c:pt idx="53">
                  <c:v>600.3</c:v>
                </c:pt>
              </c:numCache>
            </c:numRef>
          </c:xVal>
          <c:yVal>
            <c:numRef>
              <c:f>Feuille1!$K$4:$K$57</c:f>
              <c:numCache>
                <c:formatCode>General</c:formatCode>
                <c:ptCount val="54"/>
                <c:pt idx="0">
                  <c:v>4.7</c:v>
                </c:pt>
                <c:pt idx="1">
                  <c:v>12.7</c:v>
                </c:pt>
                <c:pt idx="2">
                  <c:v>14.73</c:v>
                </c:pt>
                <c:pt idx="3">
                  <c:v>11.21</c:v>
                </c:pt>
                <c:pt idx="4">
                  <c:v>11.17</c:v>
                </c:pt>
                <c:pt idx="5">
                  <c:v>10.4</c:v>
                </c:pt>
                <c:pt idx="6">
                  <c:v>16.32</c:v>
                </c:pt>
                <c:pt idx="7">
                  <c:v>11.37</c:v>
                </c:pt>
                <c:pt idx="8">
                  <c:v>16.31</c:v>
                </c:pt>
                <c:pt idx="9">
                  <c:v>10.6</c:v>
                </c:pt>
                <c:pt idx="10">
                  <c:v>19.44</c:v>
                </c:pt>
                <c:pt idx="11">
                  <c:v>11.34</c:v>
                </c:pt>
                <c:pt idx="12">
                  <c:v>18.15</c:v>
                </c:pt>
                <c:pt idx="13">
                  <c:v>11.65</c:v>
                </c:pt>
                <c:pt idx="14">
                  <c:v>22.81</c:v>
                </c:pt>
                <c:pt idx="15">
                  <c:v>22.91</c:v>
                </c:pt>
                <c:pt idx="16">
                  <c:v>30.55</c:v>
                </c:pt>
                <c:pt idx="17">
                  <c:v>22.8</c:v>
                </c:pt>
                <c:pt idx="18">
                  <c:v>23.91</c:v>
                </c:pt>
                <c:pt idx="19">
                  <c:v>23.91</c:v>
                </c:pt>
                <c:pt idx="20">
                  <c:v>32.38</c:v>
                </c:pt>
                <c:pt idx="21">
                  <c:v>25.48</c:v>
                </c:pt>
                <c:pt idx="22">
                  <c:v>38.45</c:v>
                </c:pt>
                <c:pt idx="23">
                  <c:v>110.99</c:v>
                </c:pt>
                <c:pt idx="24">
                  <c:v>5.58</c:v>
                </c:pt>
                <c:pt idx="25">
                  <c:v>4.57</c:v>
                </c:pt>
                <c:pt idx="26">
                  <c:v>4.37</c:v>
                </c:pt>
                <c:pt idx="27">
                  <c:v>4.41</c:v>
                </c:pt>
                <c:pt idx="28">
                  <c:v>4.41</c:v>
                </c:pt>
                <c:pt idx="29">
                  <c:v>4.18</c:v>
                </c:pt>
                <c:pt idx="30">
                  <c:v>4.41</c:v>
                </c:pt>
                <c:pt idx="31">
                  <c:v>14.3</c:v>
                </c:pt>
                <c:pt idx="32">
                  <c:v>48.56</c:v>
                </c:pt>
                <c:pt idx="33">
                  <c:v>4.07</c:v>
                </c:pt>
                <c:pt idx="34">
                  <c:v>16.21</c:v>
                </c:pt>
                <c:pt idx="35">
                  <c:v>63.39</c:v>
                </c:pt>
                <c:pt idx="36">
                  <c:v>5.1</c:v>
                </c:pt>
                <c:pt idx="37">
                  <c:v>22.82</c:v>
                </c:pt>
                <c:pt idx="38">
                  <c:v>9.07</c:v>
                </c:pt>
                <c:pt idx="39">
                  <c:v>9.41</c:v>
                </c:pt>
                <c:pt idx="40">
                  <c:v>3.25</c:v>
                </c:pt>
                <c:pt idx="41">
                  <c:v>14.28</c:v>
                </c:pt>
                <c:pt idx="42">
                  <c:v>46.48</c:v>
                </c:pt>
                <c:pt idx="43">
                  <c:v>5.13</c:v>
                </c:pt>
                <c:pt idx="44">
                  <c:v>22.74</c:v>
                </c:pt>
                <c:pt idx="45">
                  <c:v>11.25</c:v>
                </c:pt>
                <c:pt idx="46">
                  <c:v>14.17</c:v>
                </c:pt>
                <c:pt idx="47">
                  <c:v>18.14</c:v>
                </c:pt>
                <c:pt idx="48">
                  <c:v>22.67</c:v>
                </c:pt>
                <c:pt idx="49">
                  <c:v>27.14</c:v>
                </c:pt>
                <c:pt idx="50">
                  <c:v>32.57</c:v>
                </c:pt>
                <c:pt idx="51">
                  <c:v>39.4</c:v>
                </c:pt>
                <c:pt idx="52">
                  <c:v>56.22</c:v>
                </c:pt>
                <c:pt idx="53">
                  <c:v>66.17</c:v>
                </c:pt>
              </c:numCache>
            </c:numRef>
          </c:yVal>
          <c:smooth val="0"/>
        </c:ser>
        <c:axId val="14662780"/>
        <c:axId val="30322969"/>
      </c:scatterChart>
      <c:valAx>
        <c:axId val="14662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nombre de pixels (× 1000)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0322969"/>
        <c:crosses val="autoZero"/>
        <c:crossBetween val="between"/>
      </c:valAx>
      <c:valAx>
        <c:axId val="303229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temps (en 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466278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12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Pt>
            <c:idx val="13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Pt>
            <c:idx val="14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1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Feuille1!$J$6:$J$25</c:f>
              <c:numCache>
                <c:formatCode>General</c:formatCode>
                <c:ptCount val="20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22.5</c:v>
                </c:pt>
                <c:pt idx="9">
                  <c:v>25</c:v>
                </c:pt>
                <c:pt idx="10">
                  <c:v>27.5</c:v>
                </c:pt>
                <c:pt idx="11">
                  <c:v>30</c:v>
                </c:pt>
                <c:pt idx="12">
                  <c:v>32.5</c:v>
                </c:pt>
                <c:pt idx="13">
                  <c:v>35</c:v>
                </c:pt>
                <c:pt idx="14">
                  <c:v>37.5</c:v>
                </c:pt>
                <c:pt idx="15">
                  <c:v>40</c:v>
                </c:pt>
                <c:pt idx="16">
                  <c:v>42.5</c:v>
                </c:pt>
                <c:pt idx="17">
                  <c:v>45</c:v>
                </c:pt>
                <c:pt idx="18">
                  <c:v>47.5</c:v>
                </c:pt>
                <c:pt idx="19">
                  <c:v>50</c:v>
                </c:pt>
              </c:numCache>
            </c:numRef>
          </c:xVal>
          <c:yVal>
            <c:numRef>
              <c:f>Feuille1!$N$6:$N$25</c:f>
              <c:numCache>
                <c:formatCode>General</c:formatCode>
                <c:ptCount val="20"/>
                <c:pt idx="0">
                  <c:v>0.012</c:v>
                </c:pt>
                <c:pt idx="1">
                  <c:v>0.096</c:v>
                </c:pt>
                <c:pt idx="2">
                  <c:v>0.15</c:v>
                </c:pt>
                <c:pt idx="3">
                  <c:v>0.279</c:v>
                </c:pt>
                <c:pt idx="4">
                  <c:v>0.75</c:v>
                </c:pt>
                <c:pt idx="5">
                  <c:v>2.16</c:v>
                </c:pt>
                <c:pt idx="6">
                  <c:v>4.8</c:v>
                </c:pt>
                <c:pt idx="7">
                  <c:v>8.7</c:v>
                </c:pt>
                <c:pt idx="8">
                  <c:v>13.2</c:v>
                </c:pt>
                <c:pt idx="9">
                  <c:v>17.4</c:v>
                </c:pt>
                <c:pt idx="10">
                  <c:v>21</c:v>
                </c:pt>
                <c:pt idx="11">
                  <c:v>24.6</c:v>
                </c:pt>
                <c:pt idx="12">
                  <c:v>27.9</c:v>
                </c:pt>
                <c:pt idx="13">
                  <c:v>29.7</c:v>
                </c:pt>
                <c:pt idx="14">
                  <c:v>32.1</c:v>
                </c:pt>
                <c:pt idx="15">
                  <c:v>34.2</c:v>
                </c:pt>
                <c:pt idx="16">
                  <c:v>36.3</c:v>
                </c:pt>
                <c:pt idx="17">
                  <c:v>37.8</c:v>
                </c:pt>
                <c:pt idx="18">
                  <c:v>39.9</c:v>
                </c:pt>
                <c:pt idx="19">
                  <c:v>41.7</c:v>
                </c:pt>
              </c:numCache>
            </c:numRef>
          </c:yVal>
          <c:smooth val="0"/>
        </c:ser>
        <c:axId val="20133078"/>
        <c:axId val="48257912"/>
      </c:scatterChart>
      <c:valAx>
        <c:axId val="2013307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Erreur dans l'image reçue (bruitée)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8257912"/>
        <c:crosses val="autoZero"/>
        <c:crossBetween val="between"/>
      </c:valAx>
      <c:valAx>
        <c:axId val="482579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Erreur dans l'image décodée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013307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716040</xdr:colOff>
      <xdr:row>1</xdr:row>
      <xdr:rowOff>96480</xdr:rowOff>
    </xdr:from>
    <xdr:to>
      <xdr:col>30</xdr:col>
      <xdr:colOff>302040</xdr:colOff>
      <xdr:row>25</xdr:row>
      <xdr:rowOff>77040</xdr:rowOff>
    </xdr:to>
    <xdr:graphicFrame>
      <xdr:nvGraphicFramePr>
        <xdr:cNvPr id="1" name=""/>
        <xdr:cNvGraphicFramePr/>
      </xdr:nvGraphicFramePr>
      <xdr:xfrm>
        <a:off x="16856640" y="259200"/>
        <a:ext cx="6901200" cy="388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495000</xdr:colOff>
      <xdr:row>5</xdr:row>
      <xdr:rowOff>25920</xdr:rowOff>
    </xdr:from>
    <xdr:to>
      <xdr:col>21</xdr:col>
      <xdr:colOff>565920</xdr:colOff>
      <xdr:row>25</xdr:row>
      <xdr:rowOff>12600</xdr:rowOff>
    </xdr:to>
    <xdr:graphicFrame>
      <xdr:nvGraphicFramePr>
        <xdr:cNvPr id="2" name=""/>
        <xdr:cNvGraphicFramePr/>
      </xdr:nvGraphicFramePr>
      <xdr:xfrm>
        <a:off x="10945800" y="838800"/>
        <a:ext cx="576072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87"/>
    <col collapsed="false" customWidth="true" hidden="false" outlineLevel="0" max="2" min="2" style="0" width="7.92"/>
    <col collapsed="false" customWidth="true" hidden="false" outlineLevel="0" max="3" min="3" style="0" width="9.92"/>
    <col collapsed="false" customWidth="true" hidden="false" outlineLevel="0" max="4" min="4" style="0" width="10.48"/>
    <col collapsed="false" customWidth="true" hidden="false" outlineLevel="0" max="5" min="5" style="0" width="19.29"/>
    <col collapsed="false" customWidth="true" hidden="false" outlineLevel="0" max="6" min="6" style="0" width="8.86"/>
    <col collapsed="false" customWidth="true" hidden="false" outlineLevel="0" max="7" min="7" style="0" width="8.64"/>
    <col collapsed="false" customWidth="true" hidden="false" outlineLevel="0" max="8" min="8" style="0" width="4.72"/>
    <col collapsed="false" customWidth="true" hidden="false" outlineLevel="0" max="9" min="9" style="0" width="8.25"/>
    <col collapsed="false" customWidth="true" hidden="false" outlineLevel="0" max="10" min="10" style="0" width="7.97"/>
    <col collapsed="false" customWidth="true" hidden="false" outlineLevel="0" max="11" min="11" style="0" width="11.93"/>
    <col collapsed="false" customWidth="true" hidden="false" outlineLevel="0" max="12" min="12" style="0" width="12"/>
    <col collapsed="false" customWidth="true" hidden="false" outlineLevel="0" max="13" min="13" style="0" width="11.4"/>
    <col collapsed="false" customWidth="true" hidden="false" outlineLevel="0" max="14" min="14" style="0" width="15.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n">
        <v>200</v>
      </c>
      <c r="D2" s="0" t="n">
        <v>266</v>
      </c>
      <c r="E2" s="0" t="n">
        <f aca="false">D2*C2/1000</f>
        <v>53.2</v>
      </c>
      <c r="F2" s="0" t="n">
        <v>10</v>
      </c>
      <c r="G2" s="0" t="n">
        <v>10</v>
      </c>
      <c r="H2" s="0" t="n">
        <v>20</v>
      </c>
      <c r="I2" s="0" t="n">
        <v>77</v>
      </c>
      <c r="J2" s="0" t="n">
        <v>3</v>
      </c>
      <c r="K2" s="0" t="n">
        <v>4.51</v>
      </c>
      <c r="L2" s="0" t="n">
        <v>4.53</v>
      </c>
      <c r="M2" s="0" t="n">
        <v>0.0019</v>
      </c>
      <c r="N2" s="0" t="n">
        <f aca="false">3 * M2</f>
        <v>0.0057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n">
        <v>200</v>
      </c>
      <c r="D3" s="0" t="n">
        <v>266</v>
      </c>
      <c r="E3" s="0" t="n">
        <f aca="false">D3*C3/1000</f>
        <v>53.2</v>
      </c>
      <c r="F3" s="0" t="n">
        <v>20</v>
      </c>
      <c r="G3" s="0" t="n">
        <v>10</v>
      </c>
      <c r="H3" s="0" t="n">
        <v>25</v>
      </c>
      <c r="I3" s="0" t="n">
        <v>27</v>
      </c>
      <c r="J3" s="0" t="n">
        <v>8</v>
      </c>
      <c r="K3" s="0" t="n">
        <v>4.4</v>
      </c>
      <c r="L3" s="0" t="n">
        <v>8.81</v>
      </c>
      <c r="M3" s="0" t="n">
        <v>0.041</v>
      </c>
      <c r="N3" s="0" t="n">
        <f aca="false">3 * M3</f>
        <v>0.123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n">
        <v>200</v>
      </c>
      <c r="D4" s="0" t="n">
        <v>266</v>
      </c>
      <c r="E4" s="0" t="n">
        <f aca="false">D4*C4/1000</f>
        <v>53.2</v>
      </c>
      <c r="F4" s="0" t="n">
        <v>12</v>
      </c>
      <c r="G4" s="0" t="n">
        <v>18</v>
      </c>
      <c r="H4" s="0" t="n">
        <v>19</v>
      </c>
      <c r="I4" s="0" t="n">
        <v>19</v>
      </c>
      <c r="J4" s="0" t="n">
        <v>10</v>
      </c>
      <c r="K4" s="0" t="n">
        <v>4.7</v>
      </c>
      <c r="L4" s="0" t="n">
        <v>7.37</v>
      </c>
      <c r="M4" s="0" t="n">
        <v>0.035</v>
      </c>
      <c r="N4" s="0" t="n">
        <f aca="false">3 * M4</f>
        <v>0.105</v>
      </c>
    </row>
    <row r="5" customFormat="false" ht="12.8" hidden="false" customHeight="false" outlineLevel="0" collapsed="false">
      <c r="A5" s="0" t="s">
        <v>14</v>
      </c>
      <c r="B5" s="0" t="s">
        <v>16</v>
      </c>
      <c r="C5" s="0" t="n">
        <v>347</v>
      </c>
      <c r="D5" s="0" t="n">
        <v>462</v>
      </c>
      <c r="E5" s="0" t="n">
        <f aca="false">D5*C5/1000</f>
        <v>160.314</v>
      </c>
      <c r="F5" s="0" t="n">
        <v>12</v>
      </c>
      <c r="G5" s="0" t="n">
        <v>18</v>
      </c>
      <c r="H5" s="0" t="n">
        <v>19</v>
      </c>
      <c r="I5" s="0" t="n">
        <v>19</v>
      </c>
      <c r="J5" s="0" t="n">
        <v>10</v>
      </c>
      <c r="K5" s="0" t="n">
        <v>12.7</v>
      </c>
      <c r="L5" s="0" t="n">
        <v>20.09</v>
      </c>
      <c r="M5" s="0" t="n">
        <v>0.098</v>
      </c>
      <c r="N5" s="0" t="n">
        <f aca="false">3 * M5</f>
        <v>0.294</v>
      </c>
    </row>
    <row r="6" customFormat="false" ht="12.8" hidden="false" customHeight="false" outlineLevel="0" collapsed="false">
      <c r="A6" s="0" t="s">
        <v>14</v>
      </c>
      <c r="B6" s="0" t="s">
        <v>16</v>
      </c>
      <c r="C6" s="0" t="n">
        <v>347</v>
      </c>
      <c r="D6" s="0" t="n">
        <v>462</v>
      </c>
      <c r="E6" s="0" t="n">
        <f aca="false">D6*C6/1000</f>
        <v>160.314</v>
      </c>
      <c r="F6" s="0" t="n">
        <v>15</v>
      </c>
      <c r="G6" s="0" t="n">
        <v>15</v>
      </c>
      <c r="H6" s="0" t="n">
        <v>15</v>
      </c>
      <c r="I6" s="0" t="n">
        <v>15</v>
      </c>
      <c r="J6" s="0" t="n">
        <v>2.5</v>
      </c>
      <c r="K6" s="2" t="n">
        <v>14.73</v>
      </c>
      <c r="L6" s="2" t="n">
        <v>15.99</v>
      </c>
      <c r="M6" s="0" t="n">
        <v>0.004</v>
      </c>
      <c r="N6" s="0" t="n">
        <f aca="false">3 * M6</f>
        <v>0.012</v>
      </c>
    </row>
    <row r="7" customFormat="false" ht="12.8" hidden="false" customHeight="false" outlineLevel="0" collapsed="false">
      <c r="A7" s="0" t="s">
        <v>14</v>
      </c>
      <c r="B7" s="0" t="s">
        <v>16</v>
      </c>
      <c r="C7" s="0" t="n">
        <v>347</v>
      </c>
      <c r="D7" s="0" t="n">
        <v>462</v>
      </c>
      <c r="E7" s="0" t="n">
        <f aca="false">D7*C7/1000</f>
        <v>160.314</v>
      </c>
      <c r="F7" s="0" t="n">
        <v>15</v>
      </c>
      <c r="G7" s="0" t="n">
        <v>15</v>
      </c>
      <c r="H7" s="0" t="n">
        <v>15</v>
      </c>
      <c r="I7" s="0" t="n">
        <v>15</v>
      </c>
      <c r="J7" s="0" t="n">
        <v>5</v>
      </c>
      <c r="K7" s="0" t="n">
        <v>11.21</v>
      </c>
      <c r="L7" s="0" t="n">
        <v>12.19</v>
      </c>
      <c r="M7" s="0" t="n">
        <v>0.032</v>
      </c>
      <c r="N7" s="0" t="n">
        <f aca="false">3 * M7</f>
        <v>0.096</v>
      </c>
    </row>
    <row r="8" customFormat="false" ht="12.8" hidden="false" customHeight="false" outlineLevel="0" collapsed="false">
      <c r="A8" s="0" t="s">
        <v>14</v>
      </c>
      <c r="B8" s="0" t="s">
        <v>16</v>
      </c>
      <c r="C8" s="0" t="n">
        <v>347</v>
      </c>
      <c r="D8" s="0" t="n">
        <v>462</v>
      </c>
      <c r="E8" s="0" t="n">
        <f aca="false">D8*C8/1000</f>
        <v>160.314</v>
      </c>
      <c r="F8" s="0" t="n">
        <v>15</v>
      </c>
      <c r="G8" s="0" t="n">
        <v>15</v>
      </c>
      <c r="H8" s="0" t="n">
        <v>15</v>
      </c>
      <c r="I8" s="0" t="n">
        <v>15</v>
      </c>
      <c r="J8" s="0" t="n">
        <v>7.5</v>
      </c>
      <c r="K8" s="0" t="n">
        <v>11.17</v>
      </c>
      <c r="L8" s="0" t="n">
        <v>13.11</v>
      </c>
      <c r="M8" s="0" t="n">
        <v>0.05</v>
      </c>
      <c r="N8" s="0" t="n">
        <f aca="false">3 * M8</f>
        <v>0.15</v>
      </c>
    </row>
    <row r="9" customFormat="false" ht="12.8" hidden="false" customHeight="false" outlineLevel="0" collapsed="false">
      <c r="A9" s="0" t="s">
        <v>14</v>
      </c>
      <c r="B9" s="0" t="s">
        <v>16</v>
      </c>
      <c r="C9" s="0" t="n">
        <v>347</v>
      </c>
      <c r="D9" s="0" t="n">
        <v>462</v>
      </c>
      <c r="E9" s="0" t="n">
        <f aca="false">D9*C9/1000</f>
        <v>160.314</v>
      </c>
      <c r="F9" s="0" t="n">
        <v>15</v>
      </c>
      <c r="G9" s="0" t="n">
        <v>15</v>
      </c>
      <c r="H9" s="0" t="n">
        <v>15</v>
      </c>
      <c r="I9" s="0" t="n">
        <v>15</v>
      </c>
      <c r="J9" s="0" t="n">
        <v>10</v>
      </c>
      <c r="K9" s="0" t="n">
        <v>10.4</v>
      </c>
      <c r="L9" s="0" t="n">
        <v>12.53</v>
      </c>
      <c r="M9" s="0" t="n">
        <v>0.093</v>
      </c>
      <c r="N9" s="0" t="n">
        <f aca="false">3 * M9</f>
        <v>0.279</v>
      </c>
    </row>
    <row r="10" customFormat="false" ht="12.8" hidden="false" customHeight="false" outlineLevel="0" collapsed="false">
      <c r="A10" s="0" t="s">
        <v>14</v>
      </c>
      <c r="B10" s="0" t="s">
        <v>16</v>
      </c>
      <c r="C10" s="0" t="n">
        <v>347</v>
      </c>
      <c r="D10" s="0" t="n">
        <v>462</v>
      </c>
      <c r="E10" s="0" t="n">
        <f aca="false">D10*C10/1000</f>
        <v>160.314</v>
      </c>
      <c r="F10" s="0" t="n">
        <v>15</v>
      </c>
      <c r="G10" s="0" t="n">
        <v>15</v>
      </c>
      <c r="H10" s="0" t="n">
        <v>15</v>
      </c>
      <c r="I10" s="0" t="n">
        <v>15</v>
      </c>
      <c r="J10" s="0" t="n">
        <v>12.5</v>
      </c>
      <c r="K10" s="2" t="n">
        <v>16.32</v>
      </c>
      <c r="L10" s="2" t="n">
        <v>17.57</v>
      </c>
      <c r="M10" s="0" t="n">
        <v>0.25</v>
      </c>
      <c r="N10" s="0" t="n">
        <f aca="false">3 * M10</f>
        <v>0.75</v>
      </c>
    </row>
    <row r="11" customFormat="false" ht="12.8" hidden="false" customHeight="false" outlineLevel="0" collapsed="false">
      <c r="A11" s="0" t="s">
        <v>14</v>
      </c>
      <c r="B11" s="0" t="s">
        <v>16</v>
      </c>
      <c r="C11" s="0" t="n">
        <v>347</v>
      </c>
      <c r="D11" s="0" t="n">
        <v>462</v>
      </c>
      <c r="E11" s="0" t="n">
        <f aca="false">D11*C11/1000</f>
        <v>160.314</v>
      </c>
      <c r="F11" s="0" t="n">
        <v>15</v>
      </c>
      <c r="G11" s="0" t="n">
        <v>15</v>
      </c>
      <c r="H11" s="0" t="n">
        <v>15</v>
      </c>
      <c r="I11" s="0" t="n">
        <v>15</v>
      </c>
      <c r="J11" s="0" t="n">
        <v>15</v>
      </c>
      <c r="K11" s="0" t="n">
        <v>11.37</v>
      </c>
      <c r="L11" s="0" t="n">
        <v>12.96</v>
      </c>
      <c r="M11" s="0" t="n">
        <v>0.72</v>
      </c>
      <c r="N11" s="0" t="n">
        <f aca="false">3 * M11</f>
        <v>2.16</v>
      </c>
    </row>
    <row r="12" customFormat="false" ht="12.8" hidden="false" customHeight="false" outlineLevel="0" collapsed="false">
      <c r="A12" s="0" t="s">
        <v>14</v>
      </c>
      <c r="B12" s="0" t="s">
        <v>16</v>
      </c>
      <c r="C12" s="0" t="n">
        <v>347</v>
      </c>
      <c r="D12" s="0" t="n">
        <v>462</v>
      </c>
      <c r="E12" s="0" t="n">
        <f aca="false">D12*C12/1000</f>
        <v>160.314</v>
      </c>
      <c r="F12" s="0" t="n">
        <v>15</v>
      </c>
      <c r="G12" s="0" t="n">
        <v>15</v>
      </c>
      <c r="H12" s="0" t="n">
        <v>15</v>
      </c>
      <c r="I12" s="0" t="n">
        <v>15</v>
      </c>
      <c r="J12" s="0" t="n">
        <v>17.5</v>
      </c>
      <c r="K12" s="2" t="n">
        <v>16.31</v>
      </c>
      <c r="L12" s="2" t="n">
        <v>18.52</v>
      </c>
      <c r="M12" s="0" t="n">
        <v>1.6</v>
      </c>
      <c r="N12" s="0" t="n">
        <f aca="false">3 * M12</f>
        <v>4.8</v>
      </c>
    </row>
    <row r="13" customFormat="false" ht="12.8" hidden="false" customHeight="false" outlineLevel="0" collapsed="false">
      <c r="A13" s="0" t="s">
        <v>14</v>
      </c>
      <c r="B13" s="0" t="s">
        <v>16</v>
      </c>
      <c r="C13" s="0" t="n">
        <v>347</v>
      </c>
      <c r="D13" s="0" t="n">
        <v>462</v>
      </c>
      <c r="E13" s="0" t="n">
        <f aca="false">D13*C13/1000</f>
        <v>160.314</v>
      </c>
      <c r="F13" s="0" t="n">
        <v>15</v>
      </c>
      <c r="G13" s="0" t="n">
        <v>15</v>
      </c>
      <c r="H13" s="0" t="n">
        <v>15</v>
      </c>
      <c r="I13" s="0" t="n">
        <v>15</v>
      </c>
      <c r="J13" s="0" t="n">
        <v>20</v>
      </c>
      <c r="K13" s="0" t="n">
        <v>10.6</v>
      </c>
      <c r="L13" s="0" t="n">
        <v>12.55</v>
      </c>
      <c r="M13" s="0" t="n">
        <v>2.9</v>
      </c>
      <c r="N13" s="0" t="n">
        <f aca="false">3 * M13</f>
        <v>8.7</v>
      </c>
    </row>
    <row r="14" customFormat="false" ht="12.8" hidden="false" customHeight="false" outlineLevel="0" collapsed="false">
      <c r="A14" s="0" t="s">
        <v>14</v>
      </c>
      <c r="B14" s="0" t="s">
        <v>16</v>
      </c>
      <c r="C14" s="0" t="n">
        <v>347</v>
      </c>
      <c r="D14" s="0" t="n">
        <v>462</v>
      </c>
      <c r="E14" s="0" t="n">
        <f aca="false">D14*C14/1000</f>
        <v>160.314</v>
      </c>
      <c r="F14" s="0" t="n">
        <v>15</v>
      </c>
      <c r="G14" s="0" t="n">
        <v>15</v>
      </c>
      <c r="H14" s="0" t="n">
        <v>15</v>
      </c>
      <c r="I14" s="0" t="n">
        <v>15</v>
      </c>
      <c r="J14" s="0" t="n">
        <v>22.5</v>
      </c>
      <c r="K14" s="2" t="n">
        <v>19.44</v>
      </c>
      <c r="L14" s="2" t="n">
        <v>17.8</v>
      </c>
      <c r="M14" s="0" t="n">
        <v>4.4</v>
      </c>
      <c r="N14" s="0" t="n">
        <f aca="false">3 * M14</f>
        <v>13.2</v>
      </c>
    </row>
    <row r="15" customFormat="false" ht="12.8" hidden="false" customHeight="false" outlineLevel="0" collapsed="false">
      <c r="A15" s="0" t="s">
        <v>14</v>
      </c>
      <c r="B15" s="0" t="s">
        <v>16</v>
      </c>
      <c r="C15" s="0" t="n">
        <v>347</v>
      </c>
      <c r="D15" s="0" t="n">
        <v>462</v>
      </c>
      <c r="E15" s="0" t="n">
        <f aca="false">D15*C15/1000</f>
        <v>160.314</v>
      </c>
      <c r="F15" s="0" t="n">
        <v>15</v>
      </c>
      <c r="G15" s="0" t="n">
        <v>15</v>
      </c>
      <c r="H15" s="0" t="n">
        <v>15</v>
      </c>
      <c r="I15" s="0" t="n">
        <v>15</v>
      </c>
      <c r="J15" s="0" t="n">
        <v>25</v>
      </c>
      <c r="K15" s="0" t="n">
        <v>11.34</v>
      </c>
      <c r="L15" s="0" t="n">
        <v>14.09</v>
      </c>
      <c r="M15" s="0" t="n">
        <v>5.8</v>
      </c>
      <c r="N15" s="0" t="n">
        <f aca="false">3 * M15</f>
        <v>17.4</v>
      </c>
    </row>
    <row r="16" customFormat="false" ht="12.8" hidden="false" customHeight="false" outlineLevel="0" collapsed="false">
      <c r="A16" s="0" t="s">
        <v>14</v>
      </c>
      <c r="B16" s="0" t="s">
        <v>16</v>
      </c>
      <c r="C16" s="0" t="n">
        <v>347</v>
      </c>
      <c r="D16" s="0" t="n">
        <v>462</v>
      </c>
      <c r="E16" s="0" t="n">
        <f aca="false">D16*C16/1000</f>
        <v>160.314</v>
      </c>
      <c r="F16" s="0" t="n">
        <v>15</v>
      </c>
      <c r="G16" s="0" t="n">
        <v>15</v>
      </c>
      <c r="H16" s="0" t="n">
        <v>15</v>
      </c>
      <c r="I16" s="0" t="n">
        <v>15</v>
      </c>
      <c r="J16" s="0" t="n">
        <v>27.5</v>
      </c>
      <c r="K16" s="2" t="n">
        <v>18.15</v>
      </c>
      <c r="L16" s="2" t="n">
        <v>18.7</v>
      </c>
      <c r="M16" s="0" t="n">
        <v>7</v>
      </c>
      <c r="N16" s="0" t="n">
        <f aca="false">3 * M16</f>
        <v>21</v>
      </c>
    </row>
    <row r="17" customFormat="false" ht="12.8" hidden="false" customHeight="false" outlineLevel="0" collapsed="false">
      <c r="A17" s="0" t="s">
        <v>14</v>
      </c>
      <c r="B17" s="0" t="s">
        <v>16</v>
      </c>
      <c r="C17" s="0" t="n">
        <v>347</v>
      </c>
      <c r="D17" s="0" t="n">
        <v>462</v>
      </c>
      <c r="E17" s="0" t="n">
        <f aca="false">D17*C17/1000</f>
        <v>160.314</v>
      </c>
      <c r="F17" s="0" t="n">
        <v>15</v>
      </c>
      <c r="G17" s="0" t="n">
        <v>15</v>
      </c>
      <c r="H17" s="0" t="n">
        <v>15</v>
      </c>
      <c r="I17" s="0" t="n">
        <v>15</v>
      </c>
      <c r="J17" s="0" t="n">
        <v>30</v>
      </c>
      <c r="K17" s="0" t="n">
        <v>11.65</v>
      </c>
      <c r="L17" s="0" t="n">
        <v>12.54</v>
      </c>
      <c r="M17" s="0" t="n">
        <v>8.2</v>
      </c>
      <c r="N17" s="0" t="n">
        <f aca="false">3 * M17</f>
        <v>24.6</v>
      </c>
    </row>
    <row r="18" customFormat="false" ht="12.8" hidden="false" customHeight="false" outlineLevel="0" collapsed="false">
      <c r="A18" s="0" t="s">
        <v>14</v>
      </c>
      <c r="B18" s="0" t="s">
        <v>16</v>
      </c>
      <c r="C18" s="0" t="n">
        <v>347</v>
      </c>
      <c r="D18" s="0" t="n">
        <v>462</v>
      </c>
      <c r="E18" s="0" t="n">
        <f aca="false">D18*C18/1000</f>
        <v>160.314</v>
      </c>
      <c r="F18" s="0" t="n">
        <v>15</v>
      </c>
      <c r="G18" s="0" t="n">
        <v>15</v>
      </c>
      <c r="H18" s="0" t="n">
        <v>15</v>
      </c>
      <c r="I18" s="0" t="n">
        <v>15</v>
      </c>
      <c r="J18" s="0" t="n">
        <v>32.5</v>
      </c>
      <c r="K18" s="2" t="n">
        <v>22.81</v>
      </c>
      <c r="L18" s="2" t="n">
        <v>21.46</v>
      </c>
      <c r="M18" s="0" t="n">
        <v>9.3</v>
      </c>
      <c r="N18" s="0" t="n">
        <f aca="false">3 * M18</f>
        <v>27.9</v>
      </c>
    </row>
    <row r="19" customFormat="false" ht="12.8" hidden="false" customHeight="false" outlineLevel="0" collapsed="false">
      <c r="A19" s="0" t="s">
        <v>14</v>
      </c>
      <c r="B19" s="0" t="s">
        <v>16</v>
      </c>
      <c r="C19" s="0" t="n">
        <v>347</v>
      </c>
      <c r="D19" s="0" t="n">
        <v>462</v>
      </c>
      <c r="E19" s="0" t="n">
        <f aca="false">D19*C19/1000</f>
        <v>160.314</v>
      </c>
      <c r="F19" s="0" t="n">
        <v>15</v>
      </c>
      <c r="G19" s="0" t="n">
        <v>15</v>
      </c>
      <c r="H19" s="0" t="n">
        <v>15</v>
      </c>
      <c r="I19" s="0" t="n">
        <v>15</v>
      </c>
      <c r="J19" s="0" t="n">
        <v>35</v>
      </c>
      <c r="K19" s="2" t="n">
        <v>22.91</v>
      </c>
      <c r="L19" s="2" t="n">
        <v>23.64</v>
      </c>
      <c r="M19" s="0" t="n">
        <v>9.9</v>
      </c>
      <c r="N19" s="0" t="n">
        <f aca="false">3 * M19</f>
        <v>29.7</v>
      </c>
    </row>
    <row r="20" customFormat="false" ht="12.8" hidden="false" customHeight="false" outlineLevel="0" collapsed="false">
      <c r="A20" s="0" t="s">
        <v>14</v>
      </c>
      <c r="B20" s="0" t="s">
        <v>16</v>
      </c>
      <c r="C20" s="0" t="n">
        <v>347</v>
      </c>
      <c r="D20" s="0" t="n">
        <v>462</v>
      </c>
      <c r="E20" s="0" t="n">
        <f aca="false">D20*C20/1000</f>
        <v>160.314</v>
      </c>
      <c r="F20" s="0" t="n">
        <v>15</v>
      </c>
      <c r="G20" s="0" t="n">
        <v>15</v>
      </c>
      <c r="H20" s="0" t="n">
        <v>15</v>
      </c>
      <c r="I20" s="0" t="n">
        <v>15</v>
      </c>
      <c r="J20" s="0" t="n">
        <v>37.5</v>
      </c>
      <c r="K20" s="2" t="n">
        <v>30.55</v>
      </c>
      <c r="L20" s="2" t="n">
        <v>21.66</v>
      </c>
      <c r="M20" s="0" t="n">
        <v>10.7</v>
      </c>
      <c r="N20" s="0" t="n">
        <f aca="false">3 * M20</f>
        <v>32.1</v>
      </c>
    </row>
    <row r="21" customFormat="false" ht="12.8" hidden="false" customHeight="false" outlineLevel="0" collapsed="false">
      <c r="A21" s="0" t="s">
        <v>14</v>
      </c>
      <c r="B21" s="0" t="s">
        <v>16</v>
      </c>
      <c r="C21" s="0" t="n">
        <v>347</v>
      </c>
      <c r="D21" s="0" t="n">
        <v>462</v>
      </c>
      <c r="E21" s="0" t="n">
        <f aca="false">D21*C21/1000</f>
        <v>160.314</v>
      </c>
      <c r="F21" s="0" t="n">
        <v>15</v>
      </c>
      <c r="G21" s="0" t="n">
        <v>15</v>
      </c>
      <c r="H21" s="0" t="n">
        <v>15</v>
      </c>
      <c r="I21" s="0" t="n">
        <v>15</v>
      </c>
      <c r="J21" s="0" t="n">
        <v>40</v>
      </c>
      <c r="K21" s="2" t="n">
        <v>22.8</v>
      </c>
      <c r="L21" s="2" t="n">
        <v>21.91</v>
      </c>
      <c r="M21" s="0" t="n">
        <v>11.4</v>
      </c>
      <c r="N21" s="0" t="n">
        <f aca="false">3 * M21</f>
        <v>34.2</v>
      </c>
    </row>
    <row r="22" customFormat="false" ht="12.8" hidden="false" customHeight="false" outlineLevel="0" collapsed="false">
      <c r="A22" s="0" t="s">
        <v>14</v>
      </c>
      <c r="B22" s="0" t="s">
        <v>16</v>
      </c>
      <c r="C22" s="0" t="n">
        <v>347</v>
      </c>
      <c r="D22" s="0" t="n">
        <v>462</v>
      </c>
      <c r="E22" s="0" t="n">
        <f aca="false">D22*C22/1000</f>
        <v>160.314</v>
      </c>
      <c r="F22" s="0" t="n">
        <v>15</v>
      </c>
      <c r="G22" s="0" t="n">
        <v>15</v>
      </c>
      <c r="H22" s="0" t="n">
        <v>15</v>
      </c>
      <c r="I22" s="0" t="n">
        <v>15</v>
      </c>
      <c r="J22" s="0" t="n">
        <v>42.5</v>
      </c>
      <c r="K22" s="2" t="n">
        <v>23.91</v>
      </c>
      <c r="L22" s="2" t="n">
        <v>21.42</v>
      </c>
      <c r="M22" s="0" t="n">
        <v>12.1</v>
      </c>
      <c r="N22" s="0" t="n">
        <f aca="false">3 * M22</f>
        <v>36.3</v>
      </c>
    </row>
    <row r="23" customFormat="false" ht="12.8" hidden="false" customHeight="false" outlineLevel="0" collapsed="false">
      <c r="A23" s="0" t="s">
        <v>14</v>
      </c>
      <c r="B23" s="0" t="s">
        <v>16</v>
      </c>
      <c r="C23" s="0" t="n">
        <v>347</v>
      </c>
      <c r="D23" s="0" t="n">
        <v>462</v>
      </c>
      <c r="E23" s="0" t="n">
        <f aca="false">D23*C23/1000</f>
        <v>160.314</v>
      </c>
      <c r="F23" s="0" t="n">
        <v>15</v>
      </c>
      <c r="G23" s="0" t="n">
        <v>15</v>
      </c>
      <c r="H23" s="0" t="n">
        <v>15</v>
      </c>
      <c r="I23" s="0" t="n">
        <v>15</v>
      </c>
      <c r="J23" s="0" t="n">
        <v>45</v>
      </c>
      <c r="K23" s="2" t="n">
        <v>23.91</v>
      </c>
      <c r="L23" s="2" t="n">
        <v>21.91</v>
      </c>
      <c r="M23" s="0" t="n">
        <v>12.6</v>
      </c>
      <c r="N23" s="0" t="n">
        <f aca="false">3 * M23</f>
        <v>37.8</v>
      </c>
    </row>
    <row r="24" customFormat="false" ht="12.8" hidden="false" customHeight="false" outlineLevel="0" collapsed="false">
      <c r="A24" s="0" t="s">
        <v>14</v>
      </c>
      <c r="B24" s="0" t="s">
        <v>16</v>
      </c>
      <c r="C24" s="0" t="n">
        <v>347</v>
      </c>
      <c r="D24" s="0" t="n">
        <v>462</v>
      </c>
      <c r="E24" s="0" t="n">
        <f aca="false">D24*C24/1000</f>
        <v>160.314</v>
      </c>
      <c r="F24" s="0" t="n">
        <v>15</v>
      </c>
      <c r="G24" s="0" t="n">
        <v>15</v>
      </c>
      <c r="H24" s="0" t="n">
        <v>15</v>
      </c>
      <c r="I24" s="0" t="n">
        <v>15</v>
      </c>
      <c r="J24" s="0" t="n">
        <v>47.5</v>
      </c>
      <c r="K24" s="2" t="n">
        <v>32.38</v>
      </c>
      <c r="L24" s="2" t="n">
        <v>24.5</v>
      </c>
      <c r="M24" s="0" t="n">
        <v>13.3</v>
      </c>
      <c r="N24" s="0" t="n">
        <f aca="false">3 * M24</f>
        <v>39.9</v>
      </c>
    </row>
    <row r="25" customFormat="false" ht="12.8" hidden="false" customHeight="false" outlineLevel="0" collapsed="false">
      <c r="A25" s="0" t="s">
        <v>14</v>
      </c>
      <c r="B25" s="0" t="s">
        <v>16</v>
      </c>
      <c r="C25" s="0" t="n">
        <v>347</v>
      </c>
      <c r="D25" s="0" t="n">
        <v>462</v>
      </c>
      <c r="E25" s="0" t="n">
        <f aca="false">D25*C25/1000</f>
        <v>160.314</v>
      </c>
      <c r="F25" s="0" t="n">
        <v>15</v>
      </c>
      <c r="G25" s="0" t="n">
        <v>15</v>
      </c>
      <c r="H25" s="0" t="n">
        <v>15</v>
      </c>
      <c r="I25" s="0" t="n">
        <v>15</v>
      </c>
      <c r="J25" s="0" t="n">
        <v>50</v>
      </c>
      <c r="K25" s="2" t="n">
        <v>25.48</v>
      </c>
      <c r="L25" s="2" t="n">
        <v>22.43</v>
      </c>
      <c r="M25" s="0" t="n">
        <v>13.9</v>
      </c>
      <c r="N25" s="0" t="n">
        <f aca="false">3 * M25</f>
        <v>41.7</v>
      </c>
    </row>
    <row r="26" customFormat="false" ht="12.8" hidden="false" customHeight="false" outlineLevel="0" collapsed="false">
      <c r="A26" s="0" t="s">
        <v>14</v>
      </c>
      <c r="B26" s="0" t="s">
        <v>16</v>
      </c>
      <c r="C26" s="0" t="n">
        <v>347</v>
      </c>
      <c r="D26" s="0" t="n">
        <v>462</v>
      </c>
      <c r="E26" s="0" t="n">
        <f aca="false">D26*C26/1000</f>
        <v>160.314</v>
      </c>
      <c r="F26" s="0" t="n">
        <v>10</v>
      </c>
      <c r="G26" s="0" t="n">
        <v>10</v>
      </c>
      <c r="H26" s="0" t="n">
        <v>60</v>
      </c>
      <c r="I26" s="0" t="n">
        <v>77</v>
      </c>
      <c r="J26" s="0" t="n">
        <v>25</v>
      </c>
      <c r="K26" s="0" t="n">
        <v>38.45</v>
      </c>
      <c r="L26" s="0" t="n">
        <v>694.93</v>
      </c>
      <c r="M26" s="0" t="n">
        <v>0.14</v>
      </c>
      <c r="N26" s="0" t="n">
        <f aca="false">3 * M26</f>
        <v>0.42</v>
      </c>
    </row>
    <row r="27" customFormat="false" ht="12.8" hidden="false" customHeight="false" outlineLevel="0" collapsed="false">
      <c r="A27" s="0" t="s">
        <v>14</v>
      </c>
      <c r="B27" s="0" t="s">
        <v>17</v>
      </c>
      <c r="C27" s="0" t="n">
        <v>800</v>
      </c>
      <c r="D27" s="0" t="n">
        <v>1065</v>
      </c>
      <c r="E27" s="0" t="n">
        <f aca="false">D27*C27/1000</f>
        <v>852</v>
      </c>
      <c r="F27" s="0" t="n">
        <v>12</v>
      </c>
      <c r="G27" s="0" t="n">
        <v>18</v>
      </c>
      <c r="H27" s="0" t="n">
        <v>19</v>
      </c>
      <c r="I27" s="0" t="n">
        <v>19</v>
      </c>
      <c r="J27" s="0" t="n">
        <v>10</v>
      </c>
      <c r="K27" s="0" t="n">
        <v>110.99</v>
      </c>
      <c r="L27" s="0" t="n">
        <v>211</v>
      </c>
      <c r="M27" s="0" t="n">
        <v>0.077</v>
      </c>
      <c r="N27" s="0" t="n">
        <f aca="false">3 * M27</f>
        <v>0.231</v>
      </c>
    </row>
    <row r="28" customFormat="false" ht="12.8" hidden="false" customHeight="false" outlineLevel="0" collapsed="false">
      <c r="A28" s="0" t="s">
        <v>18</v>
      </c>
      <c r="B28" s="0" t="s">
        <v>15</v>
      </c>
      <c r="C28" s="0" t="n">
        <v>350</v>
      </c>
      <c r="D28" s="0" t="n">
        <v>157</v>
      </c>
      <c r="E28" s="0" t="n">
        <f aca="false">D28*C28/1000</f>
        <v>54.95</v>
      </c>
      <c r="F28" s="0" t="n">
        <v>9</v>
      </c>
      <c r="G28" s="0" t="n">
        <v>9</v>
      </c>
      <c r="H28" s="0" t="n">
        <v>20</v>
      </c>
      <c r="I28" s="0" t="n">
        <v>87</v>
      </c>
      <c r="J28" s="0" t="n">
        <v>15</v>
      </c>
      <c r="K28" s="0" t="n">
        <v>5.58</v>
      </c>
      <c r="L28" s="0" t="n">
        <v>12.29</v>
      </c>
      <c r="M28" s="0" t="n">
        <v>0.094</v>
      </c>
      <c r="N28" s="0" t="n">
        <f aca="false">3 * M28</f>
        <v>0.282</v>
      </c>
    </row>
    <row r="29" customFormat="false" ht="12.8" hidden="false" customHeight="false" outlineLevel="0" collapsed="false">
      <c r="A29" s="0" t="s">
        <v>18</v>
      </c>
      <c r="B29" s="0" t="s">
        <v>15</v>
      </c>
      <c r="C29" s="0" t="n">
        <v>350</v>
      </c>
      <c r="D29" s="0" t="n">
        <v>157</v>
      </c>
      <c r="E29" s="0" t="n">
        <f aca="false">D29*C29/1000</f>
        <v>54.95</v>
      </c>
      <c r="F29" s="0" t="n">
        <v>10</v>
      </c>
      <c r="G29" s="0" t="n">
        <v>10</v>
      </c>
      <c r="H29" s="0" t="n">
        <v>20</v>
      </c>
      <c r="I29" s="0" t="n">
        <v>77</v>
      </c>
      <c r="J29" s="0" t="n">
        <v>15</v>
      </c>
      <c r="K29" s="0" t="n">
        <v>4.57</v>
      </c>
      <c r="L29" s="0" t="n">
        <v>11.13</v>
      </c>
      <c r="M29" s="0" t="n">
        <v>0.13</v>
      </c>
      <c r="N29" s="0" t="n">
        <f aca="false">3 * M29</f>
        <v>0.39</v>
      </c>
    </row>
    <row r="30" customFormat="false" ht="12.8" hidden="false" customHeight="false" outlineLevel="0" collapsed="false">
      <c r="A30" s="0" t="s">
        <v>18</v>
      </c>
      <c r="B30" s="0" t="s">
        <v>15</v>
      </c>
      <c r="C30" s="0" t="n">
        <v>350</v>
      </c>
      <c r="D30" s="0" t="n">
        <v>157</v>
      </c>
      <c r="E30" s="0" t="n">
        <f aca="false">D30*C30/1000</f>
        <v>54.95</v>
      </c>
      <c r="F30" s="0" t="n">
        <v>11</v>
      </c>
      <c r="G30" s="0" t="n">
        <v>11</v>
      </c>
      <c r="H30" s="0" t="n">
        <v>20</v>
      </c>
      <c r="I30" s="0" t="n">
        <v>67</v>
      </c>
      <c r="J30" s="0" t="n">
        <v>15</v>
      </c>
      <c r="K30" s="0" t="n">
        <v>4.37</v>
      </c>
      <c r="L30" s="0" t="n">
        <v>10.15</v>
      </c>
      <c r="M30" s="0" t="n">
        <v>0.22</v>
      </c>
      <c r="N30" s="0" t="n">
        <f aca="false">3 * M30</f>
        <v>0.66</v>
      </c>
    </row>
    <row r="31" customFormat="false" ht="12.8" hidden="false" customHeight="false" outlineLevel="0" collapsed="false">
      <c r="A31" s="0" t="s">
        <v>18</v>
      </c>
      <c r="B31" s="0" t="s">
        <v>15</v>
      </c>
      <c r="C31" s="0" t="n">
        <v>350</v>
      </c>
      <c r="D31" s="0" t="n">
        <v>157</v>
      </c>
      <c r="E31" s="0" t="n">
        <f aca="false">D31*C31/1000</f>
        <v>54.95</v>
      </c>
      <c r="F31" s="0" t="n">
        <v>12</v>
      </c>
      <c r="G31" s="0" t="n">
        <v>12</v>
      </c>
      <c r="H31" s="0" t="n">
        <v>20</v>
      </c>
      <c r="I31" s="0" t="n">
        <v>55</v>
      </c>
      <c r="J31" s="0" t="n">
        <v>15</v>
      </c>
      <c r="K31" s="0" t="n">
        <v>4.41</v>
      </c>
      <c r="L31" s="0" t="n">
        <v>9.63</v>
      </c>
      <c r="M31" s="0" t="n">
        <v>0.18</v>
      </c>
      <c r="N31" s="0" t="n">
        <f aca="false">3 * M31</f>
        <v>0.54</v>
      </c>
    </row>
    <row r="32" customFormat="false" ht="12.8" hidden="false" customHeight="false" outlineLevel="0" collapsed="false">
      <c r="A32" s="0" t="s">
        <v>18</v>
      </c>
      <c r="B32" s="0" t="s">
        <v>15</v>
      </c>
      <c r="C32" s="0" t="n">
        <v>350</v>
      </c>
      <c r="D32" s="0" t="n">
        <v>157</v>
      </c>
      <c r="E32" s="0" t="n">
        <f aca="false">D32*C32/1000</f>
        <v>54.95</v>
      </c>
      <c r="F32" s="0" t="n">
        <v>13</v>
      </c>
      <c r="G32" s="0" t="n">
        <v>13</v>
      </c>
      <c r="H32" s="0" t="n">
        <v>20</v>
      </c>
      <c r="I32" s="0" t="n">
        <v>43</v>
      </c>
      <c r="J32" s="0" t="n">
        <v>15</v>
      </c>
      <c r="K32" s="0" t="n">
        <v>4.41</v>
      </c>
      <c r="L32" s="0" t="n">
        <v>10.29</v>
      </c>
      <c r="M32" s="0" t="n">
        <v>0.23</v>
      </c>
      <c r="N32" s="0" t="n">
        <f aca="false">3 * M32</f>
        <v>0.69</v>
      </c>
    </row>
    <row r="33" customFormat="false" ht="12.8" hidden="false" customHeight="false" outlineLevel="0" collapsed="false">
      <c r="A33" s="0" t="s">
        <v>18</v>
      </c>
      <c r="B33" s="0" t="s">
        <v>15</v>
      </c>
      <c r="C33" s="0" t="n">
        <v>350</v>
      </c>
      <c r="D33" s="0" t="n">
        <v>157</v>
      </c>
      <c r="E33" s="0" t="n">
        <f aca="false">D33*C33/1000</f>
        <v>54.95</v>
      </c>
      <c r="F33" s="0" t="n">
        <v>14</v>
      </c>
      <c r="G33" s="0" t="n">
        <v>14</v>
      </c>
      <c r="H33" s="0" t="n">
        <v>20</v>
      </c>
      <c r="I33" s="0" t="n">
        <v>29</v>
      </c>
      <c r="J33" s="0" t="n">
        <v>15</v>
      </c>
      <c r="K33" s="0" t="n">
        <v>4.18</v>
      </c>
      <c r="L33" s="0" t="n">
        <v>8.47</v>
      </c>
      <c r="M33" s="0" t="n">
        <v>0.14</v>
      </c>
      <c r="N33" s="0" t="n">
        <f aca="false">3 * M33</f>
        <v>0.42</v>
      </c>
    </row>
    <row r="34" customFormat="false" ht="12.8" hidden="false" customHeight="false" outlineLevel="0" collapsed="false">
      <c r="A34" s="0" t="s">
        <v>18</v>
      </c>
      <c r="B34" s="0" t="s">
        <v>15</v>
      </c>
      <c r="C34" s="0" t="n">
        <v>350</v>
      </c>
      <c r="D34" s="0" t="n">
        <v>157</v>
      </c>
      <c r="E34" s="0" t="n">
        <f aca="false">D34*C34/1000</f>
        <v>54.95</v>
      </c>
      <c r="F34" s="0" t="n">
        <v>12</v>
      </c>
      <c r="G34" s="0" t="n">
        <v>18</v>
      </c>
      <c r="H34" s="0" t="n">
        <v>19</v>
      </c>
      <c r="I34" s="0" t="n">
        <v>19</v>
      </c>
      <c r="J34" s="0" t="n">
        <v>10</v>
      </c>
      <c r="K34" s="0" t="n">
        <v>4.41</v>
      </c>
      <c r="L34" s="0" t="n">
        <v>6.57</v>
      </c>
      <c r="M34" s="0" t="n">
        <v>0.076</v>
      </c>
      <c r="N34" s="0" t="n">
        <f aca="false">3 * M34</f>
        <v>0.228</v>
      </c>
    </row>
    <row r="35" customFormat="false" ht="12.8" hidden="false" customHeight="false" outlineLevel="0" collapsed="false">
      <c r="A35" s="0" t="s">
        <v>18</v>
      </c>
      <c r="B35" s="0" t="s">
        <v>16</v>
      </c>
      <c r="C35" s="0" t="n">
        <v>600</v>
      </c>
      <c r="D35" s="0" t="n">
        <v>269</v>
      </c>
      <c r="E35" s="0" t="n">
        <f aca="false">D35*C35/1000</f>
        <v>161.4</v>
      </c>
      <c r="F35" s="0" t="n">
        <v>12</v>
      </c>
      <c r="G35" s="0" t="n">
        <v>18</v>
      </c>
      <c r="H35" s="0" t="n">
        <v>19</v>
      </c>
      <c r="I35" s="0" t="n">
        <v>19</v>
      </c>
      <c r="J35" s="0" t="n">
        <v>10</v>
      </c>
      <c r="K35" s="0" t="n">
        <v>14.3</v>
      </c>
      <c r="L35" s="0" t="n">
        <v>21.34</v>
      </c>
      <c r="M35" s="0" t="n">
        <v>0.13</v>
      </c>
      <c r="N35" s="0" t="n">
        <f aca="false">3 * M35</f>
        <v>0.39</v>
      </c>
    </row>
    <row r="36" customFormat="false" ht="12.8" hidden="false" customHeight="false" outlineLevel="0" collapsed="false">
      <c r="A36" s="0" t="s">
        <v>18</v>
      </c>
      <c r="B36" s="0" t="s">
        <v>17</v>
      </c>
      <c r="C36" s="0" t="n">
        <v>1000</v>
      </c>
      <c r="D36" s="0" t="n">
        <v>448</v>
      </c>
      <c r="E36" s="0" t="n">
        <f aca="false">D36*C36/1000</f>
        <v>448</v>
      </c>
      <c r="F36" s="0" t="n">
        <v>12</v>
      </c>
      <c r="G36" s="0" t="n">
        <v>18</v>
      </c>
      <c r="H36" s="0" t="n">
        <v>19</v>
      </c>
      <c r="I36" s="0" t="n">
        <v>19</v>
      </c>
      <c r="J36" s="0" t="n">
        <v>10</v>
      </c>
      <c r="K36" s="0" t="n">
        <v>48.56</v>
      </c>
      <c r="L36" s="0" t="n">
        <v>80.08</v>
      </c>
      <c r="M36" s="0" t="n">
        <v>0.12</v>
      </c>
      <c r="N36" s="0" t="n">
        <f aca="false">3 * M36</f>
        <v>0.36</v>
      </c>
    </row>
    <row r="37" customFormat="false" ht="12.8" hidden="false" customHeight="false" outlineLevel="0" collapsed="false">
      <c r="A37" s="0" t="s">
        <v>19</v>
      </c>
      <c r="B37" s="0" t="s">
        <v>15</v>
      </c>
      <c r="C37" s="0" t="n">
        <v>300</v>
      </c>
      <c r="D37" s="0" t="n">
        <v>169</v>
      </c>
      <c r="E37" s="0" t="n">
        <f aca="false">D37*C37/1000</f>
        <v>50.7</v>
      </c>
      <c r="F37" s="0" t="n">
        <v>12</v>
      </c>
      <c r="G37" s="0" t="n">
        <v>18</v>
      </c>
      <c r="H37" s="0" t="n">
        <v>19</v>
      </c>
      <c r="I37" s="0" t="n">
        <v>19</v>
      </c>
      <c r="J37" s="0" t="n">
        <v>10</v>
      </c>
      <c r="K37" s="0" t="n">
        <v>4.07</v>
      </c>
      <c r="L37" s="0" t="n">
        <v>7.03</v>
      </c>
      <c r="M37" s="0" t="n">
        <v>0.088</v>
      </c>
      <c r="N37" s="0" t="n">
        <f aca="false">3 * M37</f>
        <v>0.264</v>
      </c>
    </row>
    <row r="38" customFormat="false" ht="12.8" hidden="false" customHeight="false" outlineLevel="0" collapsed="false">
      <c r="A38" s="0" t="s">
        <v>19</v>
      </c>
      <c r="B38" s="0" t="s">
        <v>16</v>
      </c>
      <c r="C38" s="0" t="n">
        <v>600</v>
      </c>
      <c r="D38" s="0" t="n">
        <v>338</v>
      </c>
      <c r="E38" s="0" t="n">
        <f aca="false">D38*C38/1000</f>
        <v>202.8</v>
      </c>
      <c r="F38" s="0" t="n">
        <v>12</v>
      </c>
      <c r="G38" s="0" t="n">
        <v>18</v>
      </c>
      <c r="H38" s="0" t="n">
        <v>19</v>
      </c>
      <c r="I38" s="0" t="n">
        <v>19</v>
      </c>
      <c r="J38" s="0" t="n">
        <v>10</v>
      </c>
      <c r="K38" s="0" t="n">
        <v>16.21</v>
      </c>
      <c r="L38" s="0" t="n">
        <v>26.59</v>
      </c>
      <c r="M38" s="0" t="n">
        <v>0.79</v>
      </c>
      <c r="N38" s="0" t="n">
        <f aca="false">3 * M38</f>
        <v>2.37</v>
      </c>
    </row>
    <row r="39" customFormat="false" ht="12.8" hidden="false" customHeight="false" outlineLevel="0" collapsed="false">
      <c r="A39" s="0" t="s">
        <v>19</v>
      </c>
      <c r="B39" s="0" t="s">
        <v>17</v>
      </c>
      <c r="C39" s="0" t="n">
        <v>1000</v>
      </c>
      <c r="D39" s="0" t="n">
        <v>563</v>
      </c>
      <c r="E39" s="0" t="n">
        <f aca="false">D39*C39/1000</f>
        <v>563</v>
      </c>
      <c r="F39" s="0" t="n">
        <v>12</v>
      </c>
      <c r="G39" s="0" t="n">
        <v>18</v>
      </c>
      <c r="H39" s="0" t="n">
        <v>19</v>
      </c>
      <c r="I39" s="0" t="n">
        <v>19</v>
      </c>
      <c r="J39" s="0" t="n">
        <v>10</v>
      </c>
      <c r="K39" s="0" t="n">
        <v>63.39</v>
      </c>
      <c r="L39" s="0" t="n">
        <v>111.79</v>
      </c>
      <c r="M39" s="0" t="n">
        <v>0.16</v>
      </c>
      <c r="N39" s="0" t="n">
        <f aca="false">3 * M39</f>
        <v>0.48</v>
      </c>
    </row>
    <row r="40" customFormat="false" ht="12.8" hidden="false" customHeight="false" outlineLevel="0" collapsed="false">
      <c r="A40" s="0" t="s">
        <v>20</v>
      </c>
      <c r="B40" s="0" t="s">
        <v>15</v>
      </c>
      <c r="C40" s="0" t="n">
        <v>225</v>
      </c>
      <c r="D40" s="0" t="n">
        <v>300</v>
      </c>
      <c r="E40" s="0" t="n">
        <f aca="false">D40*C40/1000</f>
        <v>67.5</v>
      </c>
      <c r="F40" s="0" t="n">
        <v>12</v>
      </c>
      <c r="G40" s="0" t="n">
        <v>18</v>
      </c>
      <c r="H40" s="0" t="n">
        <v>19</v>
      </c>
      <c r="I40" s="0" t="n">
        <v>19</v>
      </c>
      <c r="J40" s="0" t="n">
        <v>10</v>
      </c>
      <c r="K40" s="0" t="n">
        <v>5.1</v>
      </c>
      <c r="L40" s="0" t="n">
        <v>8.31</v>
      </c>
      <c r="M40" s="0" t="n">
        <v>0.053</v>
      </c>
      <c r="N40" s="0" t="n">
        <f aca="false">3 * M40</f>
        <v>0.159</v>
      </c>
    </row>
    <row r="41" customFormat="false" ht="12.8" hidden="false" customHeight="false" outlineLevel="0" collapsed="false">
      <c r="A41" s="0" t="s">
        <v>20</v>
      </c>
      <c r="B41" s="0" t="s">
        <v>16</v>
      </c>
      <c r="C41" s="0" t="n">
        <v>450</v>
      </c>
      <c r="D41" s="0" t="n">
        <v>600</v>
      </c>
      <c r="E41" s="0" t="n">
        <f aca="false">D41*C41/1000</f>
        <v>270</v>
      </c>
      <c r="F41" s="0" t="n">
        <v>12</v>
      </c>
      <c r="G41" s="0" t="n">
        <v>18</v>
      </c>
      <c r="H41" s="0" t="n">
        <v>19</v>
      </c>
      <c r="I41" s="0" t="n">
        <v>19</v>
      </c>
      <c r="J41" s="0" t="n">
        <v>10</v>
      </c>
      <c r="K41" s="0" t="n">
        <v>22.82</v>
      </c>
      <c r="L41" s="0" t="n">
        <v>37.22</v>
      </c>
      <c r="M41" s="0" t="n">
        <v>0.086</v>
      </c>
      <c r="N41" s="0" t="n">
        <f aca="false">3 * M41</f>
        <v>0.258</v>
      </c>
    </row>
    <row r="42" customFormat="false" ht="12.8" hidden="false" customHeight="false" outlineLevel="0" collapsed="false">
      <c r="A42" s="0" t="s">
        <v>20</v>
      </c>
      <c r="B42" s="0" t="s">
        <v>15</v>
      </c>
      <c r="C42" s="0" t="n">
        <v>225</v>
      </c>
      <c r="D42" s="0" t="n">
        <v>300</v>
      </c>
      <c r="E42" s="0" t="n">
        <f aca="false">D42*C42/1000</f>
        <v>67.5</v>
      </c>
      <c r="F42" s="0" t="n">
        <v>10</v>
      </c>
      <c r="G42" s="0" t="n">
        <v>10</v>
      </c>
      <c r="H42" s="0" t="n">
        <v>25</v>
      </c>
      <c r="I42" s="0" t="n">
        <v>77</v>
      </c>
      <c r="J42" s="0" t="n">
        <v>3</v>
      </c>
      <c r="K42" s="2" t="n">
        <v>9.07</v>
      </c>
      <c r="L42" s="2" t="n">
        <v>14.22</v>
      </c>
      <c r="M42" s="0" t="n">
        <v>0.0044</v>
      </c>
      <c r="N42" s="0" t="n">
        <f aca="false">3 * M42</f>
        <v>0.0132</v>
      </c>
    </row>
    <row r="43" customFormat="false" ht="12.8" hidden="false" customHeight="false" outlineLevel="0" collapsed="false">
      <c r="A43" s="0" t="s">
        <v>20</v>
      </c>
      <c r="B43" s="0" t="s">
        <v>15</v>
      </c>
      <c r="C43" s="0" t="n">
        <v>225</v>
      </c>
      <c r="D43" s="0" t="n">
        <v>300</v>
      </c>
      <c r="E43" s="0" t="n">
        <f aca="false">D43*C43/1000</f>
        <v>67.5</v>
      </c>
      <c r="F43" s="0" t="n">
        <v>10</v>
      </c>
      <c r="G43" s="0" t="n">
        <v>10</v>
      </c>
      <c r="H43" s="0" t="n">
        <v>25</v>
      </c>
      <c r="I43" s="0" t="n">
        <v>77</v>
      </c>
      <c r="J43" s="0" t="n">
        <v>6</v>
      </c>
      <c r="K43" s="2" t="n">
        <v>9.41</v>
      </c>
      <c r="L43" s="2" t="n">
        <v>19.62</v>
      </c>
      <c r="M43" s="0" t="n">
        <v>0.015</v>
      </c>
      <c r="N43" s="0" t="n">
        <f aca="false">3 * M43</f>
        <v>0.045</v>
      </c>
    </row>
    <row r="44" customFormat="false" ht="12.8" hidden="false" customHeight="false" outlineLevel="0" collapsed="false">
      <c r="A44" s="0" t="s">
        <v>21</v>
      </c>
      <c r="B44" s="0" t="s">
        <v>15</v>
      </c>
      <c r="C44" s="0" t="n">
        <v>250</v>
      </c>
      <c r="D44" s="0" t="n">
        <v>185</v>
      </c>
      <c r="E44" s="0" t="n">
        <f aca="false">D44*C44/1000</f>
        <v>46.25</v>
      </c>
      <c r="F44" s="0" t="n">
        <v>12</v>
      </c>
      <c r="G44" s="0" t="n">
        <v>18</v>
      </c>
      <c r="H44" s="0" t="n">
        <v>19</v>
      </c>
      <c r="I44" s="0" t="n">
        <v>19</v>
      </c>
      <c r="J44" s="0" t="n">
        <v>10</v>
      </c>
      <c r="K44" s="0" t="n">
        <v>3.25</v>
      </c>
      <c r="L44" s="0" t="n">
        <v>5.21</v>
      </c>
      <c r="M44" s="0" t="n">
        <v>0.24</v>
      </c>
      <c r="N44" s="0" t="n">
        <f aca="false">3 * M44</f>
        <v>0.72</v>
      </c>
    </row>
    <row r="45" customFormat="false" ht="12.8" hidden="false" customHeight="false" outlineLevel="0" collapsed="false">
      <c r="A45" s="0" t="s">
        <v>21</v>
      </c>
      <c r="B45" s="0" t="s">
        <v>16</v>
      </c>
      <c r="C45" s="0" t="n">
        <v>500</v>
      </c>
      <c r="D45" s="0" t="n">
        <v>371</v>
      </c>
      <c r="E45" s="0" t="n">
        <f aca="false">D45*C45/1000</f>
        <v>185.5</v>
      </c>
      <c r="F45" s="0" t="n">
        <v>12</v>
      </c>
      <c r="G45" s="0" t="n">
        <v>18</v>
      </c>
      <c r="H45" s="0" t="n">
        <v>19</v>
      </c>
      <c r="I45" s="0" t="n">
        <v>19</v>
      </c>
      <c r="J45" s="0" t="n">
        <v>10</v>
      </c>
      <c r="K45" s="0" t="n">
        <v>14.28</v>
      </c>
      <c r="L45" s="0" t="n">
        <v>23.69</v>
      </c>
      <c r="M45" s="0" t="n">
        <v>0.12</v>
      </c>
      <c r="N45" s="0" t="n">
        <f aca="false">3 * M45</f>
        <v>0.36</v>
      </c>
    </row>
    <row r="46" customFormat="false" ht="12.8" hidden="false" customHeight="false" outlineLevel="0" collapsed="false">
      <c r="A46" s="0" t="s">
        <v>21</v>
      </c>
      <c r="B46" s="0" t="s">
        <v>17</v>
      </c>
      <c r="C46" s="0" t="n">
        <v>800</v>
      </c>
      <c r="D46" s="0" t="n">
        <v>593</v>
      </c>
      <c r="E46" s="0" t="n">
        <f aca="false">D46*C46/1000</f>
        <v>474.4</v>
      </c>
      <c r="F46" s="0" t="n">
        <v>12</v>
      </c>
      <c r="G46" s="0" t="n">
        <v>18</v>
      </c>
      <c r="H46" s="0" t="n">
        <v>19</v>
      </c>
      <c r="I46" s="0" t="n">
        <v>19</v>
      </c>
      <c r="J46" s="0" t="n">
        <v>10</v>
      </c>
      <c r="K46" s="0" t="n">
        <v>46.48</v>
      </c>
      <c r="L46" s="0" t="n">
        <v>83.58</v>
      </c>
      <c r="M46" s="0" t="n">
        <v>0.094</v>
      </c>
      <c r="N46" s="0" t="n">
        <f aca="false">3 * M46</f>
        <v>0.282</v>
      </c>
    </row>
    <row r="47" customFormat="false" ht="12.8" hidden="false" customHeight="false" outlineLevel="0" collapsed="false">
      <c r="A47" s="0" t="s">
        <v>22</v>
      </c>
      <c r="B47" s="0" t="s">
        <v>15</v>
      </c>
      <c r="C47" s="0" t="n">
        <v>225</v>
      </c>
      <c r="D47" s="0" t="n">
        <v>300</v>
      </c>
      <c r="E47" s="0" t="n">
        <f aca="false">D47*C47/1000</f>
        <v>67.5</v>
      </c>
      <c r="F47" s="0" t="n">
        <v>12</v>
      </c>
      <c r="G47" s="0" t="n">
        <v>18</v>
      </c>
      <c r="H47" s="0" t="n">
        <v>19</v>
      </c>
      <c r="I47" s="0" t="n">
        <v>19</v>
      </c>
      <c r="J47" s="0" t="n">
        <v>10</v>
      </c>
      <c r="K47" s="0" t="n">
        <v>5.13</v>
      </c>
      <c r="L47" s="0" t="n">
        <v>8.28</v>
      </c>
      <c r="M47" s="0" t="n">
        <v>0.11</v>
      </c>
      <c r="N47" s="0" t="n">
        <f aca="false">3 * M47</f>
        <v>0.33</v>
      </c>
    </row>
    <row r="48" customFormat="false" ht="12.8" hidden="false" customHeight="false" outlineLevel="0" collapsed="false">
      <c r="A48" s="0" t="s">
        <v>22</v>
      </c>
      <c r="B48" s="0" t="s">
        <v>16</v>
      </c>
      <c r="C48" s="0" t="n">
        <v>450</v>
      </c>
      <c r="D48" s="0" t="n">
        <v>600</v>
      </c>
      <c r="E48" s="0" t="n">
        <f aca="false">D48*C48/1000</f>
        <v>270</v>
      </c>
      <c r="F48" s="0" t="n">
        <v>12</v>
      </c>
      <c r="G48" s="0" t="n">
        <v>18</v>
      </c>
      <c r="H48" s="0" t="n">
        <v>19</v>
      </c>
      <c r="I48" s="0" t="n">
        <v>19</v>
      </c>
      <c r="J48" s="0" t="n">
        <v>10</v>
      </c>
      <c r="K48" s="0" t="n">
        <v>22.74</v>
      </c>
      <c r="L48" s="0" t="n">
        <v>38.78</v>
      </c>
      <c r="M48" s="0" t="n">
        <v>0.067</v>
      </c>
      <c r="N48" s="0" t="n">
        <f aca="false">3 * M48</f>
        <v>0.201</v>
      </c>
    </row>
    <row r="49" customFormat="false" ht="12.8" hidden="false" customHeight="false" outlineLevel="0" collapsed="false">
      <c r="A49" s="0" t="s">
        <v>23</v>
      </c>
      <c r="B49" s="0" t="s">
        <v>24</v>
      </c>
      <c r="C49" s="0" t="n">
        <v>450</v>
      </c>
      <c r="D49" s="0" t="n">
        <v>334</v>
      </c>
      <c r="E49" s="0" t="n">
        <f aca="false">D49*C49/1000</f>
        <v>150.3</v>
      </c>
      <c r="F49" s="0" t="n">
        <v>12</v>
      </c>
      <c r="G49" s="0" t="n">
        <v>18</v>
      </c>
      <c r="H49" s="0" t="n">
        <v>19</v>
      </c>
      <c r="I49" s="0" t="n">
        <v>19</v>
      </c>
      <c r="J49" s="0" t="n">
        <v>10</v>
      </c>
      <c r="K49" s="0" t="n">
        <v>11.25</v>
      </c>
      <c r="L49" s="0" t="n">
        <v>17.71</v>
      </c>
      <c r="M49" s="0" t="n">
        <v>0.11</v>
      </c>
      <c r="N49" s="0" t="n">
        <f aca="false">3 * M49</f>
        <v>0.33</v>
      </c>
    </row>
    <row r="50" customFormat="false" ht="12.8" hidden="false" customHeight="false" outlineLevel="0" collapsed="false">
      <c r="A50" s="0" t="s">
        <v>25</v>
      </c>
      <c r="B50" s="0" t="s">
        <v>24</v>
      </c>
      <c r="C50" s="0" t="n">
        <v>500</v>
      </c>
      <c r="D50" s="0" t="n">
        <v>371</v>
      </c>
      <c r="E50" s="0" t="n">
        <f aca="false">D50*C50/1000</f>
        <v>185.5</v>
      </c>
      <c r="F50" s="0" t="n">
        <v>12</v>
      </c>
      <c r="G50" s="0" t="n">
        <v>18</v>
      </c>
      <c r="H50" s="0" t="n">
        <v>19</v>
      </c>
      <c r="I50" s="0" t="n">
        <v>19</v>
      </c>
      <c r="J50" s="0" t="n">
        <v>10</v>
      </c>
      <c r="K50" s="0" t="n">
        <v>14.17</v>
      </c>
      <c r="L50" s="0" t="n">
        <v>22.82</v>
      </c>
      <c r="M50" s="0" t="n">
        <v>0.12</v>
      </c>
      <c r="N50" s="0" t="n">
        <f aca="false">3 * M50</f>
        <v>0.36</v>
      </c>
    </row>
    <row r="51" customFormat="false" ht="12.8" hidden="false" customHeight="false" outlineLevel="0" collapsed="false">
      <c r="A51" s="0" t="s">
        <v>26</v>
      </c>
      <c r="B51" s="0" t="s">
        <v>24</v>
      </c>
      <c r="C51" s="0" t="n">
        <v>550</v>
      </c>
      <c r="D51" s="0" t="n">
        <v>408</v>
      </c>
      <c r="E51" s="0" t="n">
        <f aca="false">D51*C51/1000</f>
        <v>224.4</v>
      </c>
      <c r="F51" s="0" t="n">
        <v>12</v>
      </c>
      <c r="G51" s="0" t="n">
        <v>18</v>
      </c>
      <c r="H51" s="0" t="n">
        <v>19</v>
      </c>
      <c r="I51" s="0" t="n">
        <v>19</v>
      </c>
      <c r="J51" s="0" t="n">
        <v>10</v>
      </c>
      <c r="K51" s="0" t="n">
        <v>18.14</v>
      </c>
      <c r="L51" s="0" t="n">
        <v>29.31</v>
      </c>
      <c r="M51" s="0" t="n">
        <v>0.11</v>
      </c>
      <c r="N51" s="0" t="n">
        <f aca="false">3 * M51</f>
        <v>0.33</v>
      </c>
    </row>
    <row r="52" customFormat="false" ht="12.8" hidden="false" customHeight="false" outlineLevel="0" collapsed="false">
      <c r="A52" s="0" t="s">
        <v>27</v>
      </c>
      <c r="B52" s="0" t="s">
        <v>24</v>
      </c>
      <c r="C52" s="0" t="n">
        <v>600</v>
      </c>
      <c r="D52" s="0" t="n">
        <v>445</v>
      </c>
      <c r="E52" s="0" t="n">
        <f aca="false">D52*C52/1000</f>
        <v>267</v>
      </c>
      <c r="F52" s="0" t="n">
        <v>12</v>
      </c>
      <c r="G52" s="0" t="n">
        <v>18</v>
      </c>
      <c r="H52" s="0" t="n">
        <v>19</v>
      </c>
      <c r="I52" s="0" t="n">
        <v>19</v>
      </c>
      <c r="J52" s="0" t="n">
        <v>10</v>
      </c>
      <c r="K52" s="0" t="n">
        <v>22.67</v>
      </c>
      <c r="L52" s="0" t="n">
        <v>36.53</v>
      </c>
      <c r="M52" s="0" t="n">
        <v>0.072</v>
      </c>
      <c r="N52" s="0" t="n">
        <f aca="false">3 * M52</f>
        <v>0.216</v>
      </c>
    </row>
    <row r="53" customFormat="false" ht="12.8" hidden="false" customHeight="false" outlineLevel="0" collapsed="false">
      <c r="A53" s="0" t="s">
        <v>28</v>
      </c>
      <c r="B53" s="0" t="s">
        <v>24</v>
      </c>
      <c r="C53" s="0" t="n">
        <v>650</v>
      </c>
      <c r="D53" s="0" t="n">
        <v>482</v>
      </c>
      <c r="E53" s="0" t="n">
        <f aca="false">D53*C53/1000</f>
        <v>313.3</v>
      </c>
      <c r="F53" s="0" t="n">
        <v>12</v>
      </c>
      <c r="G53" s="0" t="n">
        <v>18</v>
      </c>
      <c r="H53" s="0" t="n">
        <v>19</v>
      </c>
      <c r="I53" s="0" t="n">
        <v>19</v>
      </c>
      <c r="J53" s="0" t="n">
        <v>10</v>
      </c>
      <c r="K53" s="0" t="n">
        <v>27.14</v>
      </c>
      <c r="L53" s="0" t="n">
        <v>44.57</v>
      </c>
      <c r="M53" s="0" t="n">
        <v>0.15</v>
      </c>
      <c r="N53" s="0" t="n">
        <f aca="false">3 * M53</f>
        <v>0.45</v>
      </c>
    </row>
    <row r="54" customFormat="false" ht="12.8" hidden="false" customHeight="false" outlineLevel="0" collapsed="false">
      <c r="A54" s="0" t="s">
        <v>29</v>
      </c>
      <c r="B54" s="0" t="s">
        <v>24</v>
      </c>
      <c r="C54" s="0" t="n">
        <v>700</v>
      </c>
      <c r="D54" s="0" t="n">
        <v>519</v>
      </c>
      <c r="E54" s="0" t="n">
        <f aca="false">D54*C54/1000</f>
        <v>363.3</v>
      </c>
      <c r="F54" s="0" t="n">
        <v>12</v>
      </c>
      <c r="G54" s="0" t="n">
        <v>18</v>
      </c>
      <c r="H54" s="0" t="n">
        <v>19</v>
      </c>
      <c r="I54" s="0" t="n">
        <v>19</v>
      </c>
      <c r="J54" s="0" t="n">
        <v>10</v>
      </c>
      <c r="K54" s="0" t="n">
        <v>32.57</v>
      </c>
      <c r="L54" s="0" t="n">
        <v>59.63</v>
      </c>
      <c r="M54" s="0" t="n">
        <v>0.088</v>
      </c>
      <c r="N54" s="0" t="n">
        <f aca="false">3 * M54</f>
        <v>0.264</v>
      </c>
    </row>
    <row r="55" customFormat="false" ht="12.8" hidden="false" customHeight="false" outlineLevel="0" collapsed="false">
      <c r="A55" s="0" t="s">
        <v>30</v>
      </c>
      <c r="B55" s="0" t="s">
        <v>24</v>
      </c>
      <c r="C55" s="0" t="n">
        <v>750</v>
      </c>
      <c r="D55" s="0" t="n">
        <v>556</v>
      </c>
      <c r="E55" s="0" t="n">
        <f aca="false">D55*C55/1000</f>
        <v>417</v>
      </c>
      <c r="F55" s="0" t="n">
        <v>12</v>
      </c>
      <c r="G55" s="0" t="n">
        <v>18</v>
      </c>
      <c r="H55" s="0" t="n">
        <v>19</v>
      </c>
      <c r="I55" s="0" t="n">
        <v>19</v>
      </c>
      <c r="J55" s="0" t="n">
        <v>10</v>
      </c>
      <c r="K55" s="0" t="n">
        <v>39.4</v>
      </c>
      <c r="L55" s="0" t="n">
        <v>67.05</v>
      </c>
      <c r="M55" s="0" t="n">
        <v>0.12</v>
      </c>
      <c r="N55" s="0" t="n">
        <f aca="false">3 * M55</f>
        <v>0.36</v>
      </c>
    </row>
    <row r="56" customFormat="false" ht="12.8" hidden="false" customHeight="false" outlineLevel="0" collapsed="false">
      <c r="A56" s="0" t="s">
        <v>31</v>
      </c>
      <c r="B56" s="0" t="s">
        <v>24</v>
      </c>
      <c r="C56" s="0" t="n">
        <v>850</v>
      </c>
      <c r="D56" s="0" t="n">
        <v>630</v>
      </c>
      <c r="E56" s="0" t="n">
        <f aca="false">D56*C56/1000</f>
        <v>535.5</v>
      </c>
      <c r="F56" s="0" t="n">
        <v>12</v>
      </c>
      <c r="G56" s="0" t="n">
        <v>18</v>
      </c>
      <c r="H56" s="0" t="n">
        <v>19</v>
      </c>
      <c r="I56" s="0" t="n">
        <v>19</v>
      </c>
      <c r="J56" s="0" t="n">
        <v>10</v>
      </c>
      <c r="K56" s="0" t="n">
        <v>56.22</v>
      </c>
      <c r="L56" s="0" t="n">
        <v>100.59</v>
      </c>
      <c r="M56" s="0" t="n">
        <v>0.085</v>
      </c>
      <c r="N56" s="0" t="n">
        <f aca="false">3 * M56</f>
        <v>0.255</v>
      </c>
    </row>
    <row r="57" customFormat="false" ht="12.8" hidden="false" customHeight="false" outlineLevel="0" collapsed="false">
      <c r="A57" s="0" t="s">
        <v>32</v>
      </c>
      <c r="B57" s="0" t="s">
        <v>24</v>
      </c>
      <c r="C57" s="0" t="n">
        <v>900</v>
      </c>
      <c r="D57" s="0" t="n">
        <v>667</v>
      </c>
      <c r="E57" s="0" t="n">
        <f aca="false">D57*C57/1000</f>
        <v>600.3</v>
      </c>
      <c r="F57" s="0" t="n">
        <v>12</v>
      </c>
      <c r="G57" s="0" t="n">
        <v>18</v>
      </c>
      <c r="H57" s="0" t="n">
        <v>19</v>
      </c>
      <c r="I57" s="0" t="n">
        <v>19</v>
      </c>
      <c r="J57" s="0" t="n">
        <v>10</v>
      </c>
      <c r="K57" s="0" t="n">
        <v>66.17</v>
      </c>
      <c r="L57" s="0" t="n">
        <v>119.76</v>
      </c>
      <c r="M57" s="0" t="n">
        <v>0.084</v>
      </c>
      <c r="N57" s="0" t="n">
        <f aca="false">3 * M57</f>
        <v>0.252</v>
      </c>
    </row>
    <row r="58" customFormat="false" ht="12.8" hidden="false" customHeight="false" outlineLevel="0" collapsed="false">
      <c r="A58" s="0" t="s">
        <v>22</v>
      </c>
      <c r="B58" s="0" t="s">
        <v>17</v>
      </c>
      <c r="C58" s="0" t="n">
        <v>675</v>
      </c>
      <c r="D58" s="0" t="n">
        <v>900</v>
      </c>
      <c r="E58" s="0" t="n">
        <f aca="false">D58*C58/1000</f>
        <v>607.5</v>
      </c>
      <c r="F58" s="0" t="n">
        <v>12</v>
      </c>
      <c r="G58" s="0" t="n">
        <v>18</v>
      </c>
      <c r="H58" s="0" t="n">
        <v>19</v>
      </c>
      <c r="I58" s="0" t="n">
        <v>19</v>
      </c>
      <c r="J58" s="0" t="n">
        <v>10</v>
      </c>
      <c r="K58" s="0" t="n">
        <v>67.36</v>
      </c>
      <c r="L58" s="0" t="s">
        <v>33</v>
      </c>
    </row>
    <row r="59" customFormat="false" ht="12.8" hidden="false" customHeight="false" outlineLevel="0" collapsed="false">
      <c r="A59" s="0" t="s">
        <v>20</v>
      </c>
      <c r="B59" s="0" t="s">
        <v>17</v>
      </c>
      <c r="C59" s="0" t="n">
        <v>750</v>
      </c>
      <c r="D59" s="0" t="n">
        <v>1000</v>
      </c>
      <c r="E59" s="0" t="n">
        <f aca="false">D59*C59/1000</f>
        <v>750</v>
      </c>
      <c r="F59" s="0" t="n">
        <v>12</v>
      </c>
      <c r="G59" s="0" t="n">
        <v>18</v>
      </c>
      <c r="H59" s="0" t="n">
        <v>19</v>
      </c>
      <c r="I59" s="0" t="n">
        <v>19</v>
      </c>
      <c r="J59" s="0" t="n">
        <v>10</v>
      </c>
      <c r="K59" s="0" t="n">
        <v>92.39</v>
      </c>
      <c r="L59" s="0" t="s">
        <v>33</v>
      </c>
    </row>
  </sheetData>
  <autoFilter ref="A1:N59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2025-10-29T09:18:26Z</dcterms:created>
  <dc:creator/>
  <dc:description/>
  <dc:language>fr-FR</dc:language>
  <cp:lastModifiedBy/>
  <dcterms:modified xsi:type="dcterms:W3CDTF">2025-10-31T15:44:55Z</dcterms:modified>
  <cp:revision>24</cp:revision>
  <dc:subject/>
  <dc:title/>
</cp:coreProperties>
</file>